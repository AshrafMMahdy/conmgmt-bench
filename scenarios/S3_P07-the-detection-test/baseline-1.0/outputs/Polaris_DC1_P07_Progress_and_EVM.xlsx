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Activity Progress" sheetId="2" state="visible" r:id="rId2"/>
    <sheet xmlns:r="http://schemas.openxmlformats.org/officeDocument/2006/relationships" name="EVM Summary" sheetId="3" state="visible" r:id="rId3"/>
    <sheet xmlns:r="http://schemas.openxmlformats.org/officeDocument/2006/relationships" name="Critical Path" sheetId="4" state="visible" r:id="rId4"/>
    <sheet xmlns:r="http://schemas.openxmlformats.org/officeDocument/2006/relationships" name="Conflict Log" sheetId="5" state="visible" r:id="rId5"/>
    <sheet xmlns:r="http://schemas.openxmlformats.org/officeDocument/2006/relationships" name="Kallio SCH rev1 change log" sheetId="6" state="visible" r:id="rId6"/>
    <sheet xmlns:r="http://schemas.openxmlformats.org/officeDocument/2006/relationships" name="Open Checks" sheetId="7" state="visible" r:id="rId7"/>
    <sheet xmlns:r="http://schemas.openxmlformats.org/officeDocument/2006/relationships" name="Period-on-period" sheetId="8" state="visible" r:id="rId8"/>
    <sheet xmlns:r="http://schemas.openxmlformats.org/officeDocument/2006/relationships" name="Cost Variance Drivers" sheetId="9" state="visible" r:id="rId9"/>
    <sheet xmlns:r="http://schemas.openxmlformats.org/officeDocument/2006/relationships" name="Certificate Register" sheetId="10" state="visible" r:id="rId10"/>
    <sheet xmlns:r="http://schemas.openxmlformats.org/officeDocument/2006/relationships" name="Time Series" sheetId="11" state="visible" r:id="rId11"/>
    <sheet xmlns:r="http://schemas.openxmlformats.org/officeDocument/2006/relationships" name="Charts" sheetId="12" state="visible" r:id="rId12"/>
  </sheets>
  <definedNames/>
  <calcPr calcId="124519" fullCalcOnLoad="1"/>
</workbook>
</file>

<file path=xl/styles.xml><?xml version="1.0" encoding="utf-8"?>
<styleSheet xmlns="http://schemas.openxmlformats.org/spreadsheetml/2006/main">
  <numFmts count="2">
    <numFmt numFmtId="164" formatCode="DD-MMM-YYYY"/>
    <numFmt numFmtId="165" formatCode="0.000"/>
  </numFmts>
  <fonts count="6">
    <font>
      <name val="Calibri"/>
      <family val="2"/>
      <color theme="1"/>
      <sz val="11"/>
      <scheme val="minor"/>
    </font>
    <font>
      <b val="1"/>
      <sz val="14"/>
    </font>
    <font>
      <b val="1"/>
    </font>
    <font/>
    <font>
      <b val="1"/>
      <color rgb="00FFFFFF"/>
      <sz val="11"/>
    </font>
    <font>
      <i val="1"/>
    </font>
  </fonts>
  <fills count="7">
    <fill>
      <patternFill/>
    </fill>
    <fill>
      <patternFill patternType="gray125"/>
    </fill>
    <fill>
      <patternFill patternType="solid">
        <fgColor rgb="001F4E78"/>
      </patternFill>
    </fill>
    <fill>
      <patternFill patternType="solid">
        <fgColor rgb="00E2EFDA"/>
      </patternFill>
    </fill>
    <fill>
      <patternFill patternType="solid">
        <fgColor rgb="00FCE4D6"/>
      </patternFill>
    </fill>
    <fill>
      <patternFill patternType="solid">
        <fgColor rgb="00FFF2CC"/>
      </patternFill>
    </fill>
    <fill>
      <patternFill patternType="solid">
        <fgColor rgb="00D9E1F2"/>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4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164" fontId="0" fillId="0" borderId="1" pivotButton="0" quotePrefix="0" xfId="0"/>
    <xf numFmtId="9" fontId="0" fillId="0" borderId="1" pivotButton="0" quotePrefix="0" xfId="0"/>
    <xf numFmtId="3" fontId="0" fillId="0" borderId="1" pivotButton="0" quotePrefix="0" xfId="0"/>
    <xf numFmtId="0" fontId="0" fillId="3" borderId="1" pivotButton="0" quotePrefix="0" xfId="0"/>
    <xf numFmtId="0" fontId="0" fillId="4" borderId="1" pivotButton="0" quotePrefix="0" xfId="0"/>
    <xf numFmtId="0" fontId="0" fillId="5" borderId="1" pivotButton="0" quotePrefix="0" xfId="0"/>
    <xf numFmtId="0" fontId="2" fillId="6" borderId="1" pivotButton="0" quotePrefix="0" xfId="0"/>
    <xf numFmtId="0" fontId="0" fillId="6" borderId="1" pivotButton="0" quotePrefix="0" xfId="0"/>
    <xf numFmtId="3" fontId="2" fillId="6" borderId="1" pivotButton="0" quotePrefix="0" xfId="0"/>
    <xf numFmtId="0" fontId="2" fillId="5" borderId="1" pivotButton="0" quotePrefix="0" xfId="0"/>
    <xf numFmtId="3" fontId="2" fillId="5" borderId="1" pivotButton="0" quotePrefix="0" xfId="0"/>
    <xf numFmtId="0" fontId="5" fillId="0" borderId="0" pivotButton="0" quotePrefix="0" xfId="0"/>
    <xf numFmtId="0" fontId="4" fillId="2" borderId="1" pivotButton="0" quotePrefix="0" xfId="0"/>
    <xf numFmtId="3" fontId="4" fillId="2" borderId="1" pivotButton="0" quotePrefix="0" xfId="0"/>
    <xf numFmtId="165" fontId="0" fillId="0" borderId="1" pivotButton="0" quotePrefix="0" xfId="0"/>
    <xf numFmtId="164" fontId="2" fillId="6" borderId="1" pivotButton="0" quotePrefix="0" xfId="0"/>
    <xf numFmtId="0" fontId="2" fillId="4" borderId="1" pivotButton="0" quotePrefix="0" xfId="0"/>
    <xf numFmtId="0" fontId="0" fillId="4" borderId="1" applyAlignment="1" pivotButton="0" quotePrefix="0" xfId="0">
      <alignment vertical="top" wrapText="1"/>
    </xf>
    <xf numFmtId="0" fontId="0" fillId="0" borderId="1" applyAlignment="1" pivotButton="0" quotePrefix="0" xfId="0">
      <alignment vertical="top" wrapText="1"/>
    </xf>
    <xf numFmtId="0" fontId="0" fillId="5" borderId="1" applyAlignment="1" pivotButton="0" quotePrefix="0" xfId="0">
      <alignment vertical="top" wrapText="1"/>
    </xf>
    <xf numFmtId="0" fontId="0" fillId="3" borderId="1" applyAlignment="1" pivotButton="0" quotePrefix="0" xfId="0">
      <alignment vertical="top" wrapText="1"/>
    </xf>
    <xf numFmtId="165" fontId="0" fillId="3" borderId="1" applyAlignment="1" pivotButton="0" quotePrefix="0" xfId="0">
      <alignment vertical="top" wrapText="1"/>
    </xf>
    <xf numFmtId="165" fontId="0" fillId="0" borderId="1" applyAlignment="1" pivotButton="0" quotePrefix="0" xfId="0">
      <alignment vertical="top" wrapText="1"/>
    </xf>
    <xf numFmtId="3" fontId="0" fillId="0" borderId="1" applyAlignment="1" pivotButton="0" quotePrefix="0" xfId="0">
      <alignment vertical="top" wrapText="1"/>
    </xf>
    <xf numFmtId="1" fontId="0" fillId="4" borderId="1" applyAlignment="1" pivotButton="0" quotePrefix="0" xfId="0">
      <alignment vertical="top" wrapText="1"/>
    </xf>
    <xf numFmtId="3" fontId="0" fillId="4" borderId="1" applyAlignment="1" pivotButton="0" quotePrefix="0" xfId="0">
      <alignment vertical="top" wrapText="1"/>
    </xf>
    <xf numFmtId="3" fontId="0" fillId="5" borderId="1" applyAlignment="1" pivotButton="0" quotePrefix="0" xfId="0">
      <alignment vertical="top" wrapText="1"/>
    </xf>
    <xf numFmtId="0" fontId="2" fillId="6" borderId="1" applyAlignment="1" pivotButton="0" quotePrefix="0" xfId="0">
      <alignment vertical="top" wrapText="1"/>
    </xf>
    <xf numFmtId="3" fontId="2" fillId="6" borderId="1" applyAlignment="1" pivotButton="0" quotePrefix="0" xfId="0">
      <alignment vertical="top" wrapText="1"/>
    </xf>
    <xf numFmtId="0" fontId="5" fillId="0" borderId="0" applyAlignment="1" pivotButton="0" quotePrefix="0" xfId="0">
      <alignment vertical="top" wrapText="1"/>
    </xf>
    <xf numFmtId="1" fontId="0" fillId="0" borderId="1" applyAlignment="1" pivotButton="0" quotePrefix="0" xfId="0">
      <alignment vertical="top" wrapText="1"/>
    </xf>
    <xf numFmtId="0" fontId="0" fillId="0" borderId="0" applyAlignment="1" pivotButton="0" quotePrefix="0" xfId="0">
      <alignment vertical="top" wrapText="1"/>
    </xf>
    <xf numFmtId="0" fontId="2" fillId="6" borderId="0" pivotButton="0" quotePrefix="0" xfId="0"/>
    <xf numFmtId="0" fontId="4" fillId="2" borderId="0" pivotButton="0" quotePrefix="0" xfId="0"/>
    <xf numFmtId="164" fontId="0" fillId="0" borderId="1" pivotButton="0" quotePrefix="0" xfId="0"/>
    <xf numFmtId="165" fontId="0" fillId="0" borderId="1" pivotButton="0" quotePrefix="0" xfId="0"/>
    <xf numFmtId="164" fontId="2" fillId="6" borderId="1" pivotButton="0" quotePrefix="0" xfId="0"/>
    <xf numFmtId="165" fontId="0" fillId="3" borderId="1" applyAlignment="1" pivotButton="0" quotePrefix="0" xfId="0">
      <alignment vertical="top" wrapText="1"/>
    </xf>
    <xf numFmtId="165"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S-curve — Cumulative PV / EV / AC (full BAC EUR 92.4M)</a:t>
            </a:r>
          </a:p>
        </rich>
      </tx>
    </title>
    <plotArea>
      <lineChart>
        <grouping val="standard"/>
        <ser>
          <idx val="0"/>
          <order val="0"/>
          <tx>
            <strRef>
              <f>'Charts'!B5</f>
            </strRef>
          </tx>
          <spPr>
            <a:ln xmlns:a="http://schemas.openxmlformats.org/drawingml/2006/main">
              <a:prstDash val="solid"/>
            </a:ln>
          </spPr>
          <marker>
            <symbol val="none"/>
            <spPr>
              <a:ln xmlns:a="http://schemas.openxmlformats.org/drawingml/2006/main">
                <a:prstDash val="solid"/>
              </a:ln>
            </spPr>
          </marker>
          <cat>
            <numRef>
              <f>'Charts'!$A$6:$A$27</f>
            </numRef>
          </cat>
          <val>
            <numRef>
              <f>'Charts'!$B$6:$B$27</f>
            </numRef>
          </val>
        </ser>
        <ser>
          <idx val="1"/>
          <order val="1"/>
          <tx>
            <strRef>
              <f>'Charts'!C5</f>
            </strRef>
          </tx>
          <spPr>
            <a:ln xmlns:a="http://schemas.openxmlformats.org/drawingml/2006/main">
              <a:prstDash val="solid"/>
            </a:ln>
          </spPr>
          <marker>
            <symbol val="none"/>
            <spPr>
              <a:ln xmlns:a="http://schemas.openxmlformats.org/drawingml/2006/main">
                <a:prstDash val="solid"/>
              </a:ln>
            </spPr>
          </marker>
          <cat>
            <numRef>
              <f>'Charts'!$A$6:$A$27</f>
            </numRef>
          </cat>
          <val>
            <numRef>
              <f>'Charts'!$C$6:$C$27</f>
            </numRef>
          </val>
        </ser>
        <ser>
          <idx val="2"/>
          <order val="2"/>
          <tx>
            <strRef>
              <f>'Charts'!D5</f>
            </strRef>
          </tx>
          <spPr>
            <a:ln xmlns:a="http://schemas.openxmlformats.org/drawingml/2006/main">
              <a:prstDash val="solid"/>
            </a:ln>
          </spPr>
          <marker>
            <symbol val="none"/>
            <spPr>
              <a:ln xmlns:a="http://schemas.openxmlformats.org/drawingml/2006/main">
                <a:prstDash val="solid"/>
              </a:ln>
            </spPr>
          </marker>
          <cat>
            <numRef>
              <f>'Charts'!$A$6:$A$27</f>
            </numRef>
          </cat>
          <val>
            <numRef>
              <f>'Charts'!$D$6:$D$27</f>
            </numRef>
          </val>
        </ser>
        <ser>
          <idx val="3"/>
          <order val="3"/>
          <tx>
            <strRef>
              <f>'Charts'!E5</f>
            </strRef>
          </tx>
          <spPr>
            <a:ln xmlns:a="http://schemas.openxmlformats.org/drawingml/2006/main">
              <a:prstDash val="solid"/>
            </a:ln>
          </spPr>
          <marker>
            <symbol val="none"/>
            <spPr>
              <a:ln xmlns:a="http://schemas.openxmlformats.org/drawingml/2006/main">
                <a:prstDash val="solid"/>
              </a:ln>
            </spPr>
          </marker>
          <cat>
            <numRef>
              <f>'Charts'!$A$6:$A$27</f>
            </numRef>
          </cat>
          <val>
            <numRef>
              <f>'Charts'!$E$6:$E$27</f>
            </numRef>
          </val>
        </ser>
        <axId val="10"/>
        <axId val="100"/>
      </lineChart>
      <catAx>
        <axId val="10"/>
        <scaling>
          <orientation val="minMax"/>
        </scaling>
        <axPos val="l"/>
        <title>
          <tx>
            <rich>
              <a:bodyPr xmlns:a="http://schemas.openxmlformats.org/drawingml/2006/main"/>
              <a:p xmlns:a="http://schemas.openxmlformats.org/drawingml/2006/main">
                <a:pPr>
                  <a:defRPr/>
                </a:pPr>
                <a:r>
                  <a:t>Period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Cumulative value (EUR)</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SPI and CPI by period (full BAC EUR 92.4M basis)</a:t>
            </a:r>
          </a:p>
        </rich>
      </tx>
    </title>
    <plotArea>
      <lineChart>
        <grouping val="standard"/>
        <ser>
          <idx val="0"/>
          <order val="0"/>
          <tx>
            <strRef>
              <f>'Charts'!B30</f>
            </strRef>
          </tx>
          <spPr>
            <a:ln xmlns:a="http://schemas.openxmlformats.org/drawingml/2006/main">
              <a:prstDash val="solid"/>
            </a:ln>
          </spPr>
          <marker>
            <symbol val="none"/>
            <spPr>
              <a:ln xmlns:a="http://schemas.openxmlformats.org/drawingml/2006/main">
                <a:prstDash val="solid"/>
              </a:ln>
            </spPr>
          </marker>
          <cat>
            <numRef>
              <f>'Charts'!$A$31:$A$33</f>
            </numRef>
          </cat>
          <val>
            <numRef>
              <f>'Charts'!$B$31:$B$33</f>
            </numRef>
          </val>
        </ser>
        <ser>
          <idx val="1"/>
          <order val="1"/>
          <tx>
            <strRef>
              <f>'Charts'!C30</f>
            </strRef>
          </tx>
          <spPr>
            <a:ln xmlns:a="http://schemas.openxmlformats.org/drawingml/2006/main">
              <a:prstDash val="solid"/>
            </a:ln>
          </spPr>
          <marker>
            <symbol val="none"/>
            <spPr>
              <a:ln xmlns:a="http://schemas.openxmlformats.org/drawingml/2006/main">
                <a:prstDash val="solid"/>
              </a:ln>
            </spPr>
          </marker>
          <cat>
            <numRef>
              <f>'Charts'!$A$31:$A$33</f>
            </numRef>
          </cat>
          <val>
            <numRef>
              <f>'Charts'!$C$31:$C$33</f>
            </numRef>
          </val>
        </ser>
        <axId val="10"/>
        <axId val="100"/>
      </lineChart>
      <catAx>
        <axId val="10"/>
        <scaling>
          <orientation val="minMax"/>
        </scaling>
        <axPos val="l"/>
        <title>
          <tx>
            <rich>
              <a:bodyPr xmlns:a="http://schemas.openxmlformats.org/drawingml/2006/main"/>
              <a:p xmlns:a="http://schemas.openxmlformats.org/drawingml/2006/main">
                <a:pPr>
                  <a:defRPr/>
                </a:pPr>
                <a:r>
                  <a:t>Period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Index value</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BAC vs EAC vs VAC (full BAC EUR 92.4M basis)</a:t>
            </a:r>
          </a:p>
        </rich>
      </tx>
    </title>
    <plotArea>
      <lineChart>
        <grouping val="standard"/>
        <ser>
          <idx val="0"/>
          <order val="0"/>
          <tx>
            <strRef>
              <f>'Charts'!B43</f>
            </strRef>
          </tx>
          <spPr>
            <a:ln xmlns:a="http://schemas.openxmlformats.org/drawingml/2006/main">
              <a:prstDash val="solid"/>
            </a:ln>
          </spPr>
          <marker>
            <symbol val="none"/>
            <spPr>
              <a:ln xmlns:a="http://schemas.openxmlformats.org/drawingml/2006/main">
                <a:prstDash val="solid"/>
              </a:ln>
            </spPr>
          </marker>
          <cat>
            <numRef>
              <f>'Charts'!$A$44:$A$46</f>
            </numRef>
          </cat>
          <val>
            <numRef>
              <f>'Charts'!$B$44:$B$46</f>
            </numRef>
          </val>
        </ser>
        <ser>
          <idx val="1"/>
          <order val="1"/>
          <tx>
            <strRef>
              <f>'Charts'!C43</f>
            </strRef>
          </tx>
          <spPr>
            <a:ln xmlns:a="http://schemas.openxmlformats.org/drawingml/2006/main">
              <a:prstDash val="solid"/>
            </a:ln>
          </spPr>
          <marker>
            <symbol val="none"/>
            <spPr>
              <a:ln xmlns:a="http://schemas.openxmlformats.org/drawingml/2006/main">
                <a:prstDash val="solid"/>
              </a:ln>
            </spPr>
          </marker>
          <cat>
            <numRef>
              <f>'Charts'!$A$44:$A$46</f>
            </numRef>
          </cat>
          <val>
            <numRef>
              <f>'Charts'!$C$44:$C$46</f>
            </numRef>
          </val>
        </ser>
        <ser>
          <idx val="2"/>
          <order val="2"/>
          <tx>
            <strRef>
              <f>'Charts'!D43</f>
            </strRef>
          </tx>
          <spPr>
            <a:ln xmlns:a="http://schemas.openxmlformats.org/drawingml/2006/main">
              <a:prstDash val="solid"/>
            </a:ln>
          </spPr>
          <marker>
            <symbol val="none"/>
            <spPr>
              <a:ln xmlns:a="http://schemas.openxmlformats.org/drawingml/2006/main">
                <a:prstDash val="solid"/>
              </a:ln>
            </spPr>
          </marker>
          <cat>
            <numRef>
              <f>'Charts'!$A$44:$A$46</f>
            </numRef>
          </cat>
          <val>
            <numRef>
              <f>'Charts'!$D$44:$D$46</f>
            </numRef>
          </val>
        </ser>
        <axId val="10"/>
        <axId val="100"/>
      </lineChart>
      <catAx>
        <axId val="10"/>
        <scaling>
          <orientation val="minMax"/>
        </scaling>
        <axPos val="l"/>
        <title>
          <tx>
            <rich>
              <a:bodyPr xmlns:a="http://schemas.openxmlformats.org/drawingml/2006/main"/>
              <a:p xmlns:a="http://schemas.openxmlformats.org/drawingml/2006/main">
                <a:pPr>
                  <a:defRPr/>
                </a:pPr>
                <a:r>
                  <a:t>Period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Value (EUR)</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6</col>
      <colOff>0</colOff>
      <row>3</row>
      <rowOff>0</rowOff>
    </from>
    <ext cx="864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29</row>
      <rowOff>0</rowOff>
    </from>
    <ext cx="648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6</col>
      <colOff>0</colOff>
      <row>42</row>
      <rowOff>0</rowOff>
    </from>
    <ext cx="6480000" cy="324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30" customWidth="1" min="1" max="1"/>
    <col width="115" customWidth="1" min="2" max="2"/>
  </cols>
  <sheetData>
    <row r="1">
      <c r="A1" s="1" t="inlineStr">
        <is>
          <t>Polaris DC-1 — Period 07 Progress &amp; EVM Workbook</t>
        </is>
      </c>
    </row>
    <row r="2">
      <c r="A2" s="2" t="inlineStr">
        <is>
          <t>Project</t>
        </is>
      </c>
      <c r="B2" t="inlineStr">
        <is>
          <t>Polaris DC-1 — Aviapolis Data Campus, Vantaa</t>
        </is>
      </c>
    </row>
    <row r="3">
      <c r="A3" s="3" t="inlineStr">
        <is>
          <t>Employer</t>
        </is>
      </c>
      <c r="B3" t="inlineStr">
        <is>
          <t>Aviapolis DC Holdings Oy</t>
        </is>
      </c>
    </row>
    <row r="4">
      <c r="A4" s="3" t="inlineStr">
        <is>
          <t>Employer's Representative</t>
        </is>
      </c>
      <c r="B4" t="inlineStr">
        <is>
          <t>Anna Härkönen</t>
        </is>
      </c>
    </row>
    <row r="5">
      <c r="A5" s="2" t="inlineStr">
        <is>
          <t>Operative Particular Conditions</t>
        </is>
      </c>
      <c r="B5" t="inlineStr">
        <is>
          <t>PDC-PC-001 RevC (FINAL — issued for execution, 24.02.2026). Supersedes RevA (06.02.2026) and RevB (06.02.2026). Contractor's letter NB-PDC-031 of 21.02.2026 records acceptance on RevC.</t>
        </is>
      </c>
    </row>
    <row r="6">
      <c r="A6" s="2" t="inlineStr">
        <is>
          <t>Operative Subcontract (Ilmatek)</t>
        </is>
      </c>
      <c r="B6" t="inlineStr">
        <is>
          <t>PDC-SUB-005 Rev1 (03.08.2026)</t>
        </is>
      </c>
    </row>
    <row r="7">
      <c r="A7" s="2" t="inlineStr">
        <is>
          <t>Operative Subcontract (Kallio)</t>
        </is>
      </c>
      <c r="B7" t="inlineStr">
        <is>
          <t>PDC-SUB-001 Rev0 (per Kallio PDC-SCH-001 Rev0 cover)</t>
        </is>
      </c>
    </row>
    <row r="8">
      <c r="A8" s="3" t="inlineStr">
        <is>
          <t>Data date</t>
        </is>
      </c>
      <c r="B8" t="inlineStr">
        <is>
          <t>30 September 2026</t>
        </is>
      </c>
    </row>
    <row r="9">
      <c r="A9" s="3" t="inlineStr">
        <is>
          <t>Reporting window</t>
        </is>
      </c>
      <c r="B9" t="inlineStr">
        <is>
          <t>Period 07 — 01 to 30 September 2026</t>
        </is>
      </c>
    </row>
    <row r="10">
      <c r="A10" s="3" t="inlineStr">
        <is>
          <t>Prepared by</t>
        </is>
      </c>
      <c r="B10" t="inlineStr">
        <is>
          <t>Senior Planning Engineer</t>
        </is>
      </c>
    </row>
    <row r="11">
      <c r="A11" s="3" t="inlineStr">
        <is>
          <t>Distribution</t>
        </is>
      </c>
      <c r="B11" t="inlineStr">
        <is>
          <t>PD → PMC → ER record</t>
        </is>
      </c>
    </row>
    <row r="12">
      <c r="A12" s="3" t="inlineStr"/>
    </row>
    <row r="13">
      <c r="A13" s="2" t="inlineStr">
        <is>
          <t>Sheet guide</t>
        </is>
      </c>
    </row>
    <row r="14">
      <c r="A14" s="3" t="inlineStr">
        <is>
          <t xml:space="preserve">  Cover</t>
        </is>
      </c>
      <c r="B14" t="inlineStr">
        <is>
          <t>Sources and basis — operative PC identified</t>
        </is>
      </c>
    </row>
    <row r="15">
      <c r="A15" s="3" t="inlineStr">
        <is>
          <t xml:space="preserve">  Activity Progress</t>
        </is>
      </c>
      <c r="B15" t="inlineStr">
        <is>
          <t>One row per activity; PV/EV formulas linked to BOQ value</t>
        </is>
      </c>
    </row>
    <row r="16">
      <c r="A16" s="3" t="inlineStr">
        <is>
          <t xml:space="preserve">  EVM Summary</t>
        </is>
      </c>
      <c r="B16" t="inlineStr">
        <is>
          <t>PV / EV / AC / SPI / CPI — BOTH bases (activity subset + full BAC)</t>
        </is>
      </c>
    </row>
    <row r="17">
      <c r="A17" s="3" t="inlineStr">
        <is>
          <t xml:space="preserve">  Critical Path</t>
        </is>
      </c>
      <c r="B17" t="inlineStr">
        <is>
          <t>Section 1 driving chain + IL-1400 baseline (PDC-SCH-005 Rev2) + derived float (labelled as derivation)</t>
        </is>
      </c>
    </row>
    <row r="18">
      <c r="A18" s="3" t="inlineStr">
        <is>
          <t xml:space="preserve">  Conflict Log</t>
        </is>
      </c>
      <c r="B18" t="inlineStr">
        <is>
          <t>Source-conflict log — corrected Kallio EI-004 figure (EUR 214,600)</t>
        </is>
      </c>
    </row>
    <row r="19">
      <c r="A19" s="3" t="inlineStr">
        <is>
          <t xml:space="preserve">  Open Checks</t>
        </is>
      </c>
      <c r="B19" t="inlineStr">
        <is>
          <t>Carried actions from P05/P06 + new A07 actions</t>
        </is>
      </c>
    </row>
    <row r="20">
      <c r="A20" s="3" t="inlineStr">
        <is>
          <t xml:space="preserve">  Period-on-period</t>
        </is>
      </c>
      <c r="B20" t="inlineStr">
        <is>
          <t>P05 / P06 / P07 on the same basis (full BAC EUR 92.4M) — reported figures only</t>
        </is>
      </c>
    </row>
    <row r="21">
      <c r="A21" s="3" t="inlineStr">
        <is>
          <t xml:space="preserve">  Cost Variance Drivers</t>
        </is>
      </c>
      <c r="B21" t="inlineStr">
        <is>
          <t>CVR-P07 cost codes — NO PMC-2500 / NO 'planters'</t>
        </is>
      </c>
    </row>
    <row r="22">
      <c r="A22" s="3" t="inlineStr">
        <is>
          <t xml:space="preserve">  Certificate Register</t>
        </is>
      </c>
      <c r="B22" t="inlineStr">
        <is>
          <t>Waterproofing certificates — KMO-QC-0207 vs KMO-QC-0219</t>
        </is>
      </c>
    </row>
    <row r="23">
      <c r="A23" s="3" t="inlineStr">
        <is>
          <t xml:space="preserve">  Time Series</t>
        </is>
      </c>
      <c r="B23" t="inlineStr">
        <is>
          <t>P05/P06/P07 reported figures per period (with source attribution) — NO BACK-FILL</t>
        </is>
      </c>
    </row>
    <row r="24">
      <c r="A24" s="3" t="inlineStr">
        <is>
          <t xml:space="preserve">  Charts</t>
        </is>
      </c>
      <c r="B24" t="inlineStr">
        <is>
          <t>4 native openpyxl charts — S-curve, SPI/CPI, SV/CV (P05 only), BAC/EAC/VAC</t>
        </is>
      </c>
    </row>
    <row r="25">
      <c r="A25" s="2" t="inlineStr">
        <is>
          <t>Source standard</t>
        </is>
      </c>
      <c r="B25" t="inlineStr">
        <is>
          <t>Every figure traceable to a document read. Every clause reference traceable to the operative source clause. If you cannot cite it, leave it out and say so.</t>
        </is>
      </c>
    </row>
    <row r="26">
      <c r="A26" s="2" t="inlineStr">
        <is>
          <t>Governing-records rule</t>
        </is>
      </c>
      <c r="B26" t="inlineStr">
        <is>
          <t>Where a sub-return and QS / site records disagree, the conflict is logged in Conflict Log; the governing record is named and the reason given.</t>
        </is>
      </c>
    </row>
    <row r="27">
      <c r="A27" s="2" t="inlineStr">
        <is>
          <t>Cycle history</t>
        </is>
      </c>
      <c r="B27" t="inlineStr">
        <is>
          <t>P05 (Jul 2026), P06 (Aug 2026), P07 (Sep 2026). Third cycle. P07 cycle 5 — operative PC corrected (RevC, not RevB).</t>
        </is>
      </c>
    </row>
    <row r="28">
      <c r="A28" s="2" t="inlineStr">
        <is>
          <t>AUDIT — P07 cycle 5 corrections</t>
        </is>
      </c>
      <c r="B28" t="inlineStr">
        <is>
          <t>1) Operative PC identified as PDC-PC-001 RevC (FINAL, 24.02.2026), NOT RevB. 2) SP-7 / Sub-Clause 8.5 — concurrent delay bar REMOVED in RevC; replaced by apportionment regime. Cost bar retained. 3) SP-15 / Sub-Clause 20.2.1 — 28-day notice reinstated in full (the 21-day modification withdrawn by RevC). 4) SP-15 / Sub-Clause 20.2.2 — reinstated in full (Engineer's obligation to give notice of non-compliance). 5) SP-9 / Sub-Clause 13.3.1 — interim valuation wording added. 6) SP-12 / Sub-Clause 14.6 — set-off limited to actually-accrued Delay Damages. 7) SP-5 / Sub-Clause 4.12 — reinstated in full (time and Cost). 8) SP-2 / Sub-Clause 1.9 — reinstated in full. 9) SP-3 / Sub-Clause 1.15 — reinstated with cap and carve-outs. 10) SP-6 / Sub-Clause 5.1 — standard of reasonable skill, care and diligence (RevB absolute warranty withdrawn). 11) SP-13 / Sub-Clause 14.9 — retention release on Section 1 / Section 4 Taking-Over Certificates. 12) SP-17 / Sub-Clause 21.6 — Helsinki, English, 3 arbitrators. 13) SP-16 / Sub-Clauses 21.1–21.4 — no DAAB. 14) ILM-NOT-003 position restated on RevC terms. 15) 110 kV hold-harmless letter restated on RevC terms — 28-day notice + 20.2.2 point + SP-7 apportionment.</t>
        </is>
      </c>
    </row>
    <row r="29">
      <c r="A29" s="2" t="inlineStr">
        <is>
          <t>Basis of EVM</t>
        </is>
      </c>
      <c r="B29" t="inlineStr">
        <is>
          <t>TWO bases: (a) Activity subset BAC EUR 8.34M (working basis for package management); (b) Full contract BAC EUR 92.4M (comparable to P05/P06 for the period-on-period trend). Same AC = EUR 7,757,800 from CVR-P07.</t>
        </is>
      </c>
    </row>
    <row r="30">
      <c r="A30" s="2" t="inlineStr">
        <is>
          <t>Material finding this period</t>
        </is>
      </c>
      <c r="B30" t="inlineStr">
        <is>
          <t>Activity subset: SPI 0.998 / CPI 0.697 / EAC EUR 11.97M. Full BAC: SPI 1.020 / CPI 0.902 / EAC EUR 102.4M. Both bases flag the Kallio cost overrun (C-1100 EUR 2.78M, C-1200 EUR 1.02M). 110 kV notice position: 28-day window per RevC SP-15; 110 kV slip event known 28.08.2026 — 28-day clock expired 25.09.2026; 20.2.2 reinstatement is the procedural route. SP-7 apportionment regime replaces the bar.</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5"/>
  <sheetViews>
    <sheetView workbookViewId="0">
      <selection activeCell="A1" sqref="A1"/>
    </sheetView>
  </sheetViews>
  <sheetFormatPr baseColWidth="8" defaultRowHeight="15"/>
  <cols>
    <col width="5" customWidth="1" min="1" max="1"/>
    <col width="45" customWidth="1" min="2" max="2"/>
    <col width="14" customWidth="1" min="3" max="3"/>
    <col width="12" customWidth="1" min="4" max="4"/>
    <col width="12" customWidth="1" min="5" max="5"/>
    <col width="12" customWidth="1" min="6" max="6"/>
    <col width="10" customWidth="1" min="7" max="7"/>
    <col width="10" customWidth="1" min="8" max="8"/>
    <col width="10" customWidth="1" min="9" max="9"/>
    <col width="10" customWidth="1" min="10" max="10"/>
    <col width="14" customWidth="1" min="11" max="11"/>
    <col width="14" customWidth="1" min="12" max="12"/>
    <col width="50" customWidth="1" min="13" max="13"/>
    <col width="50" customWidth="1" min="14" max="14"/>
  </cols>
  <sheetData>
    <row r="1">
      <c r="A1" s="1" t="inlineStr">
        <is>
          <t>Activity Progress — Period 07 (data date 30.09.2026)</t>
        </is>
      </c>
    </row>
    <row r="2" ht="35" customHeight="1">
      <c r="A2" s="4" t="inlineStr">
        <is>
          <t>ID</t>
        </is>
      </c>
      <c r="B2" s="4" t="inlineStr">
        <is>
          <t>Activity</t>
        </is>
      </c>
      <c r="C2" s="4" t="inlineStr">
        <is>
          <t>Sub</t>
        </is>
      </c>
      <c r="D2" s="4" t="inlineStr">
        <is>
          <t>BOQ code</t>
        </is>
      </c>
      <c r="E2" s="4" t="inlineStr">
        <is>
          <t>BL Start</t>
        </is>
      </c>
      <c r="F2" s="4" t="inlineStr">
        <is>
          <t>BL Finish</t>
        </is>
      </c>
      <c r="G2" s="4" t="inlineStr">
        <is>
          <t>Planned %cum</t>
        </is>
      </c>
      <c r="H2" s="4" t="inlineStr">
        <is>
          <t>Sub %cum</t>
        </is>
      </c>
      <c r="I2" s="4" t="inlineStr">
        <is>
          <t>QS %cum</t>
        </is>
      </c>
      <c r="J2" s="4" t="inlineStr">
        <is>
          <t>Agreed %</t>
        </is>
      </c>
      <c r="K2" s="4" t="inlineStr">
        <is>
          <t>BOQ Value EUR</t>
        </is>
      </c>
      <c r="L2" s="4" t="inlineStr">
        <is>
          <t>EV (EUR)</t>
        </is>
      </c>
      <c r="M2" s="4" t="inlineStr">
        <is>
          <t>Source/status</t>
        </is>
      </c>
      <c r="N2" s="4" t="inlineStr">
        <is>
          <t>Note</t>
        </is>
      </c>
    </row>
    <row r="3">
      <c r="A3" s="5" t="n">
        <v>1</v>
      </c>
      <c r="B3" s="5" t="inlineStr">
        <is>
          <t>C-1110 Site clearance &amp; temp roads</t>
        </is>
      </c>
      <c r="C3" s="5" t="inlineStr">
        <is>
          <t>TP-001 Kallio</t>
        </is>
      </c>
      <c r="D3" s="5" t="inlineStr">
        <is>
          <t>C-1110</t>
        </is>
      </c>
      <c r="E3" s="40" t="n">
        <v>46204</v>
      </c>
      <c r="F3" s="40" t="n">
        <v>46224</v>
      </c>
      <c r="G3" s="7" t="n">
        <v>1</v>
      </c>
      <c r="H3" s="7" t="n">
        <v>1</v>
      </c>
      <c r="I3" s="7" t="n">
        <v>1</v>
      </c>
      <c r="J3" s="7" t="n">
        <v>1</v>
      </c>
      <c r="K3" s="8" t="n">
        <v>185000</v>
      </c>
      <c r="L3" s="8">
        <f>J3*K3</f>
        <v/>
      </c>
      <c r="M3" s="9" t="inlineStr">
        <is>
          <t>PDC-PROG-001-P07 + P05 record</t>
        </is>
      </c>
      <c r="N3" s="5" t="inlineStr"/>
    </row>
    <row r="4">
      <c r="A4" s="5" t="n">
        <v>2</v>
      </c>
      <c r="B4" s="5" t="inlineStr">
        <is>
          <t>C-1120 Bulk excavation DH1</t>
        </is>
      </c>
      <c r="C4" s="5" t="inlineStr">
        <is>
          <t>TP-001 Kallio</t>
        </is>
      </c>
      <c r="D4" s="5" t="inlineStr">
        <is>
          <t>C-1120</t>
        </is>
      </c>
      <c r="E4" s="40" t="n">
        <v>46225</v>
      </c>
      <c r="F4" s="40" t="n">
        <v>46246</v>
      </c>
      <c r="G4" s="7" t="n">
        <v>1</v>
      </c>
      <c r="H4" s="7" t="n">
        <v>1</v>
      </c>
      <c r="I4" s="7" t="n">
        <v>1</v>
      </c>
      <c r="J4" s="7" t="n">
        <v>1</v>
      </c>
      <c r="K4" s="8" t="n">
        <v>420000</v>
      </c>
      <c r="L4" s="8">
        <f>J4*K4</f>
        <v/>
      </c>
      <c r="M4" s="9" t="inlineStr">
        <is>
          <t>PDC-PROG-001-P07 + P06 record</t>
        </is>
      </c>
      <c r="N4" s="5" t="inlineStr"/>
    </row>
    <row r="5">
      <c r="A5" s="5" t="n">
        <v>3</v>
      </c>
      <c r="B5" s="5" t="inlineStr">
        <is>
          <t>C-1130 Bulk excavation DH2</t>
        </is>
      </c>
      <c r="C5" s="5" t="inlineStr">
        <is>
          <t>TP-001 Kallio</t>
        </is>
      </c>
      <c r="D5" s="5" t="inlineStr">
        <is>
          <t>C-1130</t>
        </is>
      </c>
      <c r="E5" s="40" t="n">
        <v>46231</v>
      </c>
      <c r="F5" s="40" t="n">
        <v>46259</v>
      </c>
      <c r="G5" s="7" t="n">
        <v>1</v>
      </c>
      <c r="H5" s="7" t="n">
        <v>1</v>
      </c>
      <c r="I5" s="7" t="n">
        <v>1</v>
      </c>
      <c r="J5" s="7" t="n">
        <v>1</v>
      </c>
      <c r="K5" s="8" t="n">
        <v>610000</v>
      </c>
      <c r="L5" s="8">
        <f>J5*K5</f>
        <v/>
      </c>
      <c r="M5" s="9" t="inlineStr">
        <is>
          <t>PDC-PROG-001-P07</t>
        </is>
      </c>
      <c r="N5" s="5" t="inlineStr"/>
    </row>
    <row r="6">
      <c r="A6" s="5" t="n">
        <v>4</v>
      </c>
      <c r="B6" s="5" t="inlineStr">
        <is>
          <t>C-1140 NW zone made-ground (EI-004)</t>
        </is>
      </c>
      <c r="C6" s="5" t="inlineStr">
        <is>
          <t>TP-001 Kallio</t>
        </is>
      </c>
      <c r="D6" s="5" t="inlineStr">
        <is>
          <t>C-1140</t>
        </is>
      </c>
      <c r="E6" s="40" t="n">
        <v>46239</v>
      </c>
      <c r="F6" s="40" t="n">
        <v>46295</v>
      </c>
      <c r="G6" s="7" t="n">
        <v>1</v>
      </c>
      <c r="H6" s="7" t="n">
        <v>0.93</v>
      </c>
      <c r="I6" s="7" t="n">
        <v>1</v>
      </c>
      <c r="J6" s="7" t="n">
        <v>1</v>
      </c>
      <c r="K6" s="8" t="n">
        <v>152800</v>
      </c>
      <c r="L6" s="8">
        <f>J6*K6</f>
        <v/>
      </c>
      <c r="M6" s="5" t="inlineStr">
        <is>
          <t>PDC-PROG-001-P07 + PDC-COST-001-EI004</t>
        </is>
      </c>
      <c r="N6" s="5" t="inlineStr">
        <is>
          <t>Incurred 152,800 EUR per PDC-CVR-P07; Kallio submitted EUR 214,600 per PDC-COST-001-EI004 (CORRECTED); reconcile A07-02</t>
        </is>
      </c>
    </row>
    <row r="7">
      <c r="A7" s="5" t="n">
        <v>5</v>
      </c>
      <c r="B7" s="5" t="inlineStr">
        <is>
          <t>C-1150 DH1 piling (68 of 68)</t>
        </is>
      </c>
      <c r="C7" s="5" t="inlineStr">
        <is>
          <t>TP-001 Kallio</t>
        </is>
      </c>
      <c r="D7" s="5" t="inlineStr">
        <is>
          <t>C-1150</t>
        </is>
      </c>
      <c r="E7" s="40" t="n">
        <v>46235</v>
      </c>
      <c r="F7" s="40" t="n">
        <v>46276</v>
      </c>
      <c r="G7" s="7" t="n">
        <v>1</v>
      </c>
      <c r="H7" s="7" t="n">
        <v>1</v>
      </c>
      <c r="I7" s="7" t="n">
        <v>1</v>
      </c>
      <c r="J7" s="7" t="n">
        <v>1</v>
      </c>
      <c r="K7" s="8" t="n">
        <v>785000</v>
      </c>
      <c r="L7" s="8">
        <f>J7*K7</f>
        <v/>
      </c>
      <c r="M7" s="9" t="inlineStr">
        <is>
          <t>PDC-PROG-001-P07 (QS verified 68/68)</t>
        </is>
      </c>
      <c r="N7" s="5" t="inlineStr">
        <is>
          <t>On programme date 11.09.2026 forecast from P05</t>
        </is>
      </c>
    </row>
    <row r="8">
      <c r="A8" s="5" t="n">
        <v>6</v>
      </c>
      <c r="B8" s="5" t="inlineStr">
        <is>
          <t>C-1160 DH2 piling (68 of 68)</t>
        </is>
      </c>
      <c r="C8" s="5" t="inlineStr">
        <is>
          <t>TP-001 Kallio</t>
        </is>
      </c>
      <c r="D8" s="5" t="inlineStr">
        <is>
          <t>C-1160</t>
        </is>
      </c>
      <c r="E8" s="40" t="n">
        <v>46242</v>
      </c>
      <c r="F8" s="40" t="n">
        <v>46280</v>
      </c>
      <c r="G8" s="7" t="n">
        <v>1</v>
      </c>
      <c r="H8" s="7" t="n">
        <v>1</v>
      </c>
      <c r="I8" s="7" t="n">
        <v>1</v>
      </c>
      <c r="J8" s="7" t="n">
        <v>1</v>
      </c>
      <c r="K8" s="8" t="n">
        <v>690000</v>
      </c>
      <c r="L8" s="8">
        <f>J8*K8</f>
        <v/>
      </c>
      <c r="M8" s="9" t="inlineStr">
        <is>
          <t>PDC-PROG-001-P07 (QS verified 68/68)</t>
        </is>
      </c>
      <c r="N8" s="5" t="inlineStr">
        <is>
          <t>DH2 68/68 complete 15.09.2026 on programme</t>
        </is>
      </c>
    </row>
    <row r="9">
      <c r="A9" s="5" t="n">
        <v>7</v>
      </c>
      <c r="B9" s="5" t="inlineStr">
        <is>
          <t>C-1170 DH2 ground-floor slab pour 1</t>
        </is>
      </c>
      <c r="C9" s="5" t="inlineStr">
        <is>
          <t>TP-001 Kallio</t>
        </is>
      </c>
      <c r="D9" s="5" t="inlineStr">
        <is>
          <t>C-1170</t>
        </is>
      </c>
      <c r="E9" s="40" t="n">
        <v>46280</v>
      </c>
      <c r="F9" s="40" t="n">
        <v>46287</v>
      </c>
      <c r="G9" s="7" t="n">
        <v>1</v>
      </c>
      <c r="H9" s="7" t="n">
        <v>1</v>
      </c>
      <c r="I9" s="7" t="n">
        <v>1</v>
      </c>
      <c r="J9" s="7" t="n">
        <v>1</v>
      </c>
      <c r="K9" s="8" t="n">
        <v>245000</v>
      </c>
      <c r="L9" s="8">
        <f>J9*K9</f>
        <v/>
      </c>
      <c r="M9" s="9" t="inlineStr">
        <is>
          <t>PDC-PROG-001-P07 + site correspondence 21.09</t>
        </is>
      </c>
      <c r="N9" s="5" t="inlineStr">
        <is>
          <t>Poured 21.09</t>
        </is>
      </c>
    </row>
    <row r="10">
      <c r="A10" s="5" t="n">
        <v>8</v>
      </c>
      <c r="B10" s="5" t="inlineStr">
        <is>
          <t>C-1170 DH2 ground-floor slab pours 2-4</t>
        </is>
      </c>
      <c r="C10" s="5" t="inlineStr">
        <is>
          <t>TP-001 Kallio</t>
        </is>
      </c>
      <c r="D10" s="5" t="inlineStr">
        <is>
          <t>C-1170</t>
        </is>
      </c>
      <c r="E10" s="40" t="n">
        <v>46288</v>
      </c>
      <c r="F10" s="40" t="n">
        <v>46315</v>
      </c>
      <c r="G10" s="7" t="n">
        <v>0.25</v>
      </c>
      <c r="H10" s="7" t="n">
        <v>0.25</v>
      </c>
      <c r="I10" s="7" t="n">
        <v>0.25</v>
      </c>
      <c r="J10" s="7" t="n">
        <v>0.25</v>
      </c>
      <c r="K10" s="8" t="n">
        <v>735000</v>
      </c>
      <c r="L10" s="8">
        <f>J10*K10</f>
        <v/>
      </c>
      <c r="M10" s="5" t="inlineStr">
        <is>
          <t>PDC-PROG-001-P07 + QS 30.09.2026 (25% cum)</t>
        </is>
      </c>
      <c r="N10" s="5" t="inlineStr">
        <is>
          <t>Pour 2 advanced; pours 3-4 contingent on W4 closure</t>
        </is>
      </c>
    </row>
    <row r="11">
      <c r="A11" s="5" t="n">
        <v>9</v>
      </c>
      <c r="B11" s="5" t="inlineStr">
        <is>
          <t>C-1180 DH2 waterproofing (full scope)</t>
        </is>
      </c>
      <c r="C11" s="5" t="inlineStr">
        <is>
          <t>TP-001 Kallio</t>
        </is>
      </c>
      <c r="D11" s="5" t="inlineStr">
        <is>
          <t>C-1180</t>
        </is>
      </c>
      <c r="E11" s="40" t="n">
        <v>46252</v>
      </c>
      <c r="F11" s="40" t="n">
        <v>46283</v>
      </c>
      <c r="G11" s="7" t="n">
        <v>1</v>
      </c>
      <c r="H11" s="7" t="n">
        <v>1</v>
      </c>
      <c r="I11" s="7" t="n">
        <v>0.9</v>
      </c>
      <c r="J11" s="7" t="n">
        <v>0.9</v>
      </c>
      <c r="K11" s="8" t="n">
        <v>210000</v>
      </c>
      <c r="L11" s="8">
        <f>J11*K11</f>
        <v/>
      </c>
      <c r="M11" s="10" t="inlineStr">
        <is>
          <t>PDC-PROG-001-P07 + QS 28-30.09.2026</t>
        </is>
      </c>
      <c r="N11" s="5" t="inlineStr">
        <is>
          <t>Kallio cert 100% 18.09 via KMO-QC-0219 (UNWITNESSED, signed 20.09); QS 90% — W4 upstands ~24 m incomplete. NCR PDC-NCR-001 drafted.</t>
        </is>
      </c>
    </row>
    <row r="12">
      <c r="A12" s="5" t="n">
        <v>10</v>
      </c>
      <c r="B12" s="5" t="inlineStr">
        <is>
          <t>C-1190 DH1 pile caps (14 of 14)</t>
        </is>
      </c>
      <c r="C12" s="5" t="inlineStr">
        <is>
          <t>TP-001 Kallio</t>
        </is>
      </c>
      <c r="D12" s="5" t="inlineStr">
        <is>
          <t>C-1190</t>
        </is>
      </c>
      <c r="E12" s="40" t="n">
        <v>46266</v>
      </c>
      <c r="F12" s="40" t="n">
        <v>46310</v>
      </c>
      <c r="G12" s="7" t="n">
        <v>0.35</v>
      </c>
      <c r="H12" s="7" t="n">
        <v>0.35</v>
      </c>
      <c r="I12" s="7" t="n">
        <v>0.35</v>
      </c>
      <c r="J12" s="7" t="n">
        <v>0.35</v>
      </c>
      <c r="K12" s="8" t="n">
        <v>380000</v>
      </c>
      <c r="L12" s="8">
        <f>J12*K12</f>
        <v/>
      </c>
      <c r="M12" s="5" t="inlineStr">
        <is>
          <t>PDC-PROG-001-P07 + QS 30.09.2026</t>
        </is>
      </c>
      <c r="N12" s="5" t="inlineStr"/>
    </row>
    <row r="13">
      <c r="A13" s="5" t="n">
        <v>11</v>
      </c>
      <c r="B13" s="5" t="inlineStr">
        <is>
          <t>IL-1400 Chilled-water primary spine (NOT on CP)</t>
        </is>
      </c>
      <c r="C13" s="5" t="inlineStr">
        <is>
          <t>TP-005 Ilmatek</t>
        </is>
      </c>
      <c r="D13" s="5" t="inlineStr">
        <is>
          <t>IL-1400</t>
        </is>
      </c>
      <c r="E13" s="40" t="n">
        <v>46188</v>
      </c>
      <c r="F13" s="40" t="n">
        <v>46307</v>
      </c>
      <c r="G13" s="7" t="n">
        <v>0.45</v>
      </c>
      <c r="H13" s="7" t="n">
        <v>0.48</v>
      </c>
      <c r="I13" s="7" t="n">
        <v>0.46</v>
      </c>
      <c r="J13" s="7" t="n">
        <v>0.46</v>
      </c>
      <c r="K13" s="8" t="n">
        <v>980000</v>
      </c>
      <c r="L13" s="8">
        <f>J13*K13</f>
        <v/>
      </c>
      <c r="M13" s="5" t="inlineStr">
        <is>
          <t>PDC-PROG-005-P07 + QS 28.09.2026 (378/820 m)</t>
        </is>
      </c>
      <c r="N13" s="5" t="inlineStr">
        <is>
          <t>Sub 48% / QS 46%; ILM-NOT-003 24.09 claims 22 WD; PDC-SUB-005 Rev1 Cl. 1.3 / 4.1 / 4.2 / 4.3; spine NOT on CP per PDC-MIN-P07 §4; derived 67 wd to Section 1 (NOT a quoted baseline float — baseline has no float column)</t>
        </is>
      </c>
    </row>
    <row r="14">
      <c r="A14" s="5" t="n">
        <v>12</v>
      </c>
      <c r="B14" s="5" t="inlineStr">
        <is>
          <t>IL-1550 Plant room pipework &amp; manifolds</t>
        </is>
      </c>
      <c r="C14" s="5" t="inlineStr">
        <is>
          <t>TP-005 Ilmatek</t>
        </is>
      </c>
      <c r="D14" s="5" t="inlineStr">
        <is>
          <t>IL-1550</t>
        </is>
      </c>
      <c r="E14" s="40" t="n">
        <v>46235</v>
      </c>
      <c r="F14" s="40" t="n">
        <v>46315</v>
      </c>
      <c r="G14" s="7" t="n">
        <v>0.3</v>
      </c>
      <c r="H14" s="7" t="n">
        <v>0.32</v>
      </c>
      <c r="I14" s="7" t="n">
        <v>0.3</v>
      </c>
      <c r="J14" s="7" t="n">
        <v>0.3</v>
      </c>
      <c r="K14" s="8" t="n">
        <v>340000</v>
      </c>
      <c r="L14" s="8">
        <f>J14*K14</f>
        <v/>
      </c>
      <c r="M14" s="5" t="inlineStr">
        <is>
          <t>PDC-PROG-005-P07</t>
        </is>
      </c>
      <c r="N14" s="5" t="inlineStr"/>
    </row>
    <row r="15">
      <c r="A15" s="5" t="n">
        <v>13</v>
      </c>
      <c r="B15" s="5" t="inlineStr">
        <is>
          <t>VE-2200 110 kV switchgear civils</t>
        </is>
      </c>
      <c r="C15" s="5" t="inlineStr">
        <is>
          <t>TP-006 Voima</t>
        </is>
      </c>
      <c r="D15" s="5" t="inlineStr">
        <is>
          <t>VE-2200</t>
        </is>
      </c>
      <c r="E15" s="40" t="n">
        <v>46235</v>
      </c>
      <c r="F15" s="40" t="n">
        <v>46325</v>
      </c>
      <c r="G15" s="7" t="n">
        <v>0.4</v>
      </c>
      <c r="H15" s="7" t="n">
        <v>0.4</v>
      </c>
      <c r="I15" s="7" t="n">
        <v>0.4</v>
      </c>
      <c r="J15" s="7" t="n">
        <v>0.4</v>
      </c>
      <c r="K15" s="8" t="n">
        <v>180000</v>
      </c>
      <c r="L15" s="8">
        <f>J15*K15</f>
        <v/>
      </c>
      <c r="M15" s="5" t="inlineStr">
        <is>
          <t>PDC-PROG-006-P07</t>
        </is>
      </c>
      <c r="N15" s="5" t="inlineStr">
        <is>
          <t>Awaiting 110 kV revised date confirmation</t>
        </is>
      </c>
    </row>
    <row r="16">
      <c r="A16" s="5" t="n">
        <v>14</v>
      </c>
      <c r="B16" s="5" t="inlineStr">
        <is>
          <t>VE-2300 110 kV cable containment</t>
        </is>
      </c>
      <c r="C16" s="5" t="inlineStr">
        <is>
          <t>TP-006 Voima</t>
        </is>
      </c>
      <c r="D16" s="5" t="inlineStr">
        <is>
          <t>VE-2300</t>
        </is>
      </c>
      <c r="E16" s="40" t="n">
        <v>46249</v>
      </c>
      <c r="F16" s="40" t="n">
        <v>46336</v>
      </c>
      <c r="G16" s="7" t="n">
        <v>0.25</v>
      </c>
      <c r="H16" s="7" t="n">
        <v>0.25</v>
      </c>
      <c r="I16" s="7" t="n">
        <v>0.25</v>
      </c>
      <c r="J16" s="7" t="n">
        <v>0.25</v>
      </c>
      <c r="K16" s="8" t="n">
        <v>220000</v>
      </c>
      <c r="L16" s="8">
        <f>J16*K16</f>
        <v/>
      </c>
      <c r="M16" s="5" t="inlineStr">
        <is>
          <t>PDC-PROG-006-P07</t>
        </is>
      </c>
      <c r="N16" s="5" t="inlineStr"/>
    </row>
    <row r="17">
      <c r="A17" s="5" t="n">
        <v>15</v>
      </c>
      <c r="B17" s="5" t="inlineStr">
        <is>
          <t>VE-2400 Transformer bund &amp; oil interceptor</t>
        </is>
      </c>
      <c r="C17" s="5" t="inlineStr">
        <is>
          <t>TP-006 Voima</t>
        </is>
      </c>
      <c r="D17" s="5" t="inlineStr">
        <is>
          <t>VE-2400</t>
        </is>
      </c>
      <c r="E17" s="40" t="n">
        <v>46280</v>
      </c>
      <c r="F17" s="40" t="n">
        <v>46325</v>
      </c>
      <c r="G17" s="7" t="n">
        <v>0.1</v>
      </c>
      <c r="H17" s="7" t="n">
        <v>0.1</v>
      </c>
      <c r="I17" s="7" t="n">
        <v>0.1</v>
      </c>
      <c r="J17" s="7" t="n">
        <v>0.1</v>
      </c>
      <c r="K17" s="8" t="n">
        <v>145000</v>
      </c>
      <c r="L17" s="8">
        <f>J17*K17</f>
        <v/>
      </c>
      <c r="M17" s="5" t="inlineStr">
        <is>
          <t>PDC-PROG-006-P07</t>
        </is>
      </c>
      <c r="N17" s="5" t="inlineStr"/>
    </row>
    <row r="18">
      <c r="A18" s="5" t="n">
        <v>16</v>
      </c>
      <c r="B18" s="5" t="inlineStr">
        <is>
          <t>LE-3210 Steel delivery batch 1</t>
        </is>
      </c>
      <c r="C18" s="5" t="inlineStr">
        <is>
          <t>TP-008 Lehtinen</t>
        </is>
      </c>
      <c r="D18" s="5" t="inlineStr">
        <is>
          <t>LE-3210</t>
        </is>
      </c>
      <c r="E18" s="40" t="n">
        <v>46249</v>
      </c>
      <c r="F18" s="40" t="n">
        <v>46279</v>
      </c>
      <c r="G18" s="7" t="n">
        <v>1</v>
      </c>
      <c r="H18" s="7" t="n">
        <v>1</v>
      </c>
      <c r="I18" s="7" t="n">
        <v>1</v>
      </c>
      <c r="J18" s="7" t="n">
        <v>1</v>
      </c>
      <c r="K18" s="8" t="n">
        <v>420000</v>
      </c>
      <c r="L18" s="8">
        <f>J18*K18</f>
        <v/>
      </c>
      <c r="M18" s="9" t="inlineStr">
        <is>
          <t>PDC-PROG-008-P07</t>
        </is>
      </c>
      <c r="N18" s="5" t="inlineStr">
        <is>
          <t>Delivered 14.09 — R-09 closed</t>
        </is>
      </c>
    </row>
    <row r="19">
      <c r="A19" s="5" t="n">
        <v>17</v>
      </c>
      <c r="B19" s="5" t="inlineStr">
        <is>
          <t>LE-3220 Steel erection DH1</t>
        </is>
      </c>
      <c r="C19" s="5" t="inlineStr">
        <is>
          <t>TP-008 Lehtinen</t>
        </is>
      </c>
      <c r="D19" s="5" t="inlineStr">
        <is>
          <t>LE-3220</t>
        </is>
      </c>
      <c r="E19" s="40" t="n">
        <v>46280</v>
      </c>
      <c r="F19" s="40" t="n">
        <v>46356</v>
      </c>
      <c r="G19" s="7" t="n">
        <v>0.2</v>
      </c>
      <c r="H19" s="7" t="n">
        <v>0.2</v>
      </c>
      <c r="I19" s="7" t="n">
        <v>0.2</v>
      </c>
      <c r="J19" s="7" t="n">
        <v>0.2</v>
      </c>
      <c r="K19" s="8" t="n">
        <v>680000</v>
      </c>
      <c r="L19" s="8">
        <f>J19*K19</f>
        <v/>
      </c>
      <c r="M19" s="5" t="inlineStr">
        <is>
          <t>PDC-PROG-008-P07</t>
        </is>
      </c>
      <c r="N19" s="5" t="inlineStr"/>
    </row>
    <row r="20">
      <c r="A20" s="5" t="n">
        <v>18</v>
      </c>
      <c r="B20" s="5" t="inlineStr">
        <is>
          <t>PMC-1000 PM &amp; site management</t>
        </is>
      </c>
      <c r="C20" s="5" t="inlineStr">
        <is>
          <t>PMC</t>
        </is>
      </c>
      <c r="D20" s="5" t="inlineStr">
        <is>
          <t>PMC-1000</t>
        </is>
      </c>
      <c r="E20" s="40" t="n">
        <v>46204</v>
      </c>
      <c r="F20" s="40" t="n">
        <v>46569</v>
      </c>
      <c r="G20" s="7" t="n">
        <v>0.33</v>
      </c>
      <c r="H20" s="7" t="n">
        <v>0.33</v>
      </c>
      <c r="I20" s="7" t="n">
        <v>0.33</v>
      </c>
      <c r="J20" s="7" t="n">
        <v>0.33</v>
      </c>
      <c r="K20" s="8" t="n">
        <v>600000</v>
      </c>
      <c r="L20" s="8">
        <f>J20*K20</f>
        <v/>
      </c>
      <c r="M20" s="5" t="inlineStr">
        <is>
          <t>CVR-P07 (straight-line)</t>
        </is>
      </c>
      <c r="N20" s="5" t="inlineStr"/>
    </row>
    <row r="21">
      <c r="A21" s="5" t="n">
        <v>19</v>
      </c>
      <c r="B21" s="5" t="inlineStr">
        <is>
          <t>PMC-1500 Temp site facilities</t>
        </is>
      </c>
      <c r="C21" s="5" t="inlineStr">
        <is>
          <t>PMC</t>
        </is>
      </c>
      <c r="D21" s="5" t="inlineStr">
        <is>
          <t>PMC-1500</t>
        </is>
      </c>
      <c r="E21" s="40" t="n">
        <v>46204</v>
      </c>
      <c r="F21" s="40" t="n">
        <v>46280</v>
      </c>
      <c r="G21" s="7" t="n">
        <v>1</v>
      </c>
      <c r="H21" s="7" t="n">
        <v>1</v>
      </c>
      <c r="I21" s="7" t="n">
        <v>1</v>
      </c>
      <c r="J21" s="7" t="n">
        <v>1</v>
      </c>
      <c r="K21" s="8" t="n">
        <v>240000</v>
      </c>
      <c r="L21" s="8">
        <f>J21*K21</f>
        <v/>
      </c>
      <c r="M21" s="9" t="inlineStr">
        <is>
          <t>PDC-LAB-P07 + CVR-P07</t>
        </is>
      </c>
      <c r="N21" s="5" t="inlineStr"/>
    </row>
    <row r="22">
      <c r="A22" s="5" t="n">
        <v>20</v>
      </c>
      <c r="B22" s="5" t="inlineStr">
        <is>
          <t>EI-005 Main gate security</t>
        </is>
      </c>
      <c r="C22" s="5" t="inlineStr">
        <is>
          <t>PMC</t>
        </is>
      </c>
      <c r="D22" s="5" t="inlineStr">
        <is>
          <t>EI-005</t>
        </is>
      </c>
      <c r="E22" s="40" t="n">
        <v>46287</v>
      </c>
      <c r="F22" s="40" t="n">
        <v>46356</v>
      </c>
      <c r="G22" s="7" t="n">
        <v>0</v>
      </c>
      <c r="H22" s="7" t="n">
        <v>0</v>
      </c>
      <c r="I22" s="7" t="n">
        <v>0</v>
      </c>
      <c r="J22" s="7" t="n">
        <v>0</v>
      </c>
      <c r="K22" s="8" t="n">
        <v>0</v>
      </c>
      <c r="L22" s="8">
        <f>J22*K22</f>
        <v/>
      </c>
      <c r="M22" s="11" t="inlineStr">
        <is>
          <t>PDC-EI-005 22.09.2026 — awaiting quotation</t>
        </is>
      </c>
      <c r="N22" s="5" t="inlineStr">
        <is>
          <t>Quotation due 20.10.2026; no rates agreed; risk-register entry</t>
        </is>
      </c>
    </row>
    <row r="23">
      <c r="A23" s="12" t="inlineStr">
        <is>
          <t>TOTALS</t>
        </is>
      </c>
      <c r="B23" s="13" t="n"/>
      <c r="C23" s="13" t="n"/>
      <c r="D23" s="13" t="n"/>
      <c r="E23" s="13" t="n"/>
      <c r="F23" s="13" t="n"/>
      <c r="G23" s="13" t="n"/>
      <c r="H23" s="13" t="n"/>
      <c r="I23" s="13" t="n"/>
      <c r="J23" s="13" t="n"/>
      <c r="K23" s="14">
        <f>SUM(K3:K22)</f>
        <v/>
      </c>
      <c r="L23" s="14">
        <f>SUM(L3:L22)</f>
        <v/>
      </c>
      <c r="M23" s="13" t="n"/>
      <c r="N23" s="13" t="n"/>
    </row>
    <row r="24">
      <c r="A24" s="15" t="inlineStr">
        <is>
          <t>PV to date</t>
        </is>
      </c>
      <c r="B24" s="11" t="n"/>
      <c r="C24" s="11" t="n"/>
      <c r="D24" s="11" t="n"/>
      <c r="E24" s="11" t="n"/>
      <c r="F24" s="11" t="n"/>
      <c r="G24" s="11" t="n"/>
      <c r="H24" s="11" t="n"/>
      <c r="I24" s="11" t="n"/>
      <c r="J24" s="11" t="n"/>
      <c r="K24" s="16">
        <f>SUMPRODUCT(G3:G22,K3:K22)</f>
        <v/>
      </c>
      <c r="L24" s="11" t="n"/>
      <c r="M24" s="11" t="n"/>
      <c r="N24" s="11" t="n"/>
    </row>
    <row r="25">
      <c r="A25" s="15" t="inlineStr">
        <is>
          <t>AC to date (cum)</t>
        </is>
      </c>
      <c r="B25" s="11" t="n"/>
      <c r="C25" s="11" t="n"/>
      <c r="D25" s="11" t="n"/>
      <c r="E25" s="11" t="n"/>
      <c r="F25" s="11" t="n"/>
      <c r="G25" s="11" t="n"/>
      <c r="H25" s="11" t="n"/>
      <c r="I25" s="11" t="n"/>
      <c r="J25" s="11" t="n"/>
      <c r="K25" s="16" t="n">
        <v>7757800</v>
      </c>
      <c r="L25" s="11" t="n"/>
      <c r="M25" s="11" t="inlineStr">
        <is>
          <t>Per PDC-CVR-P07 to 30.09.2026</t>
        </is>
      </c>
      <c r="N25" s="11" t="n"/>
    </row>
  </sheetData>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5" customWidth="1" min="1" max="1"/>
    <col width="18" customWidth="1" min="2" max="2"/>
    <col width="32" customWidth="1" min="3" max="3"/>
    <col width="28" customWidth="1" min="4" max="4"/>
    <col width="40" customWidth="1" min="5" max="5"/>
  </cols>
  <sheetData>
    <row r="1">
      <c r="A1" s="1" t="inlineStr">
        <is>
          <t>EVM Summary — Period 07 (data date 30.09.2026) — BOTH bases</t>
        </is>
      </c>
    </row>
    <row r="2">
      <c r="A2" s="17" t="inlineStr">
        <is>
          <t>Basis A — Activity subset (BAC EUR 8.34M). Working basis for package management.</t>
        </is>
      </c>
    </row>
    <row r="3">
      <c r="A3" s="18" t="inlineStr">
        <is>
          <t>BAC (activity subset)</t>
        </is>
      </c>
      <c r="B3" s="19">
        <f>K23</f>
        <v/>
      </c>
      <c r="C3" s="18" t="inlineStr">
        <is>
          <t>Sum of BOQ values</t>
        </is>
      </c>
      <c r="D3" s="18" t="inlineStr">
        <is>
          <t>Activity Progress!K</t>
        </is>
      </c>
      <c r="E3" s="18" t="inlineStr">
        <is>
          <t>Working basis</t>
        </is>
      </c>
    </row>
    <row r="4">
      <c r="A4" s="5" t="inlineStr">
        <is>
          <t>PV to date</t>
        </is>
      </c>
      <c r="B4" s="8">
        <f>K24</f>
        <v/>
      </c>
      <c r="C4" s="5" t="inlineStr">
        <is>
          <t>sumproduct(planned %, BOQ)</t>
        </is>
      </c>
      <c r="D4" s="5" t="inlineStr">
        <is>
          <t>Activity Progress!K</t>
        </is>
      </c>
      <c r="E4" s="5" t="inlineStr"/>
    </row>
    <row r="5">
      <c r="A5" s="5" t="inlineStr">
        <is>
          <t>EV to date</t>
        </is>
      </c>
      <c r="B5" s="8">
        <f>L23</f>
        <v/>
      </c>
      <c r="C5" s="5" t="inlineStr">
        <is>
          <t>Sum of agreed % × BOQ</t>
        </is>
      </c>
      <c r="D5" s="5" t="inlineStr">
        <is>
          <t>Activity Progress!L</t>
        </is>
      </c>
      <c r="E5" s="5" t="inlineStr"/>
    </row>
    <row r="6">
      <c r="A6" s="5" t="inlineStr">
        <is>
          <t>AC to date (cum)</t>
        </is>
      </c>
      <c r="B6" s="8">
        <f>K25</f>
        <v/>
      </c>
      <c r="C6" s="5" t="inlineStr">
        <is>
          <t>Per PDC-CVR-P07</t>
        </is>
      </c>
      <c r="D6" s="5" t="inlineStr">
        <is>
          <t>Activity Progress!K</t>
        </is>
      </c>
      <c r="E6" s="5" t="inlineStr">
        <is>
          <t>Same as basis B</t>
        </is>
      </c>
    </row>
    <row r="7">
      <c r="A7" s="5" t="inlineStr">
        <is>
          <t>SV (Schedule Variance)</t>
        </is>
      </c>
      <c r="B7" s="8">
        <f>B5-B4</f>
        <v/>
      </c>
      <c r="C7" s="5" t="inlineStr">
        <is>
          <t>EV - PV</t>
        </is>
      </c>
      <c r="D7" s="5" t="inlineStr">
        <is>
          <t>Computed</t>
        </is>
      </c>
      <c r="E7" s="5" t="inlineStr"/>
    </row>
    <row r="8">
      <c r="A8" s="5" t="inlineStr">
        <is>
          <t>CV (Cost Variance)</t>
        </is>
      </c>
      <c r="B8" s="8">
        <f>B5-B6</f>
        <v/>
      </c>
      <c r="C8" s="5" t="inlineStr">
        <is>
          <t>EV - AC</t>
        </is>
      </c>
      <c r="D8" s="5" t="inlineStr">
        <is>
          <t>Computed</t>
        </is>
      </c>
      <c r="E8" s="5" t="inlineStr"/>
    </row>
    <row r="9">
      <c r="A9" s="5" t="inlineStr">
        <is>
          <t>SPI</t>
        </is>
      </c>
      <c r="B9" s="41">
        <f>B5/B4</f>
        <v/>
      </c>
      <c r="C9" s="5" t="inlineStr">
        <is>
          <t>EV / PV</t>
        </is>
      </c>
      <c r="D9" s="5" t="inlineStr">
        <is>
          <t>Computed</t>
        </is>
      </c>
      <c r="E9" s="5" t="inlineStr"/>
    </row>
    <row r="10">
      <c r="A10" s="5" t="inlineStr">
        <is>
          <t>CPI</t>
        </is>
      </c>
      <c r="B10" s="41">
        <f>B5/B6</f>
        <v/>
      </c>
      <c r="C10" s="5" t="inlineStr">
        <is>
          <t>EV / AC</t>
        </is>
      </c>
      <c r="D10" s="5" t="inlineStr">
        <is>
          <t>Computed</t>
        </is>
      </c>
      <c r="E10" s="5" t="inlineStr"/>
    </row>
    <row r="11">
      <c r="A11" s="5" t="inlineStr">
        <is>
          <t>EAC (BAC / CPI)</t>
        </is>
      </c>
      <c r="B11" s="41">
        <f>B3/B10</f>
        <v/>
      </c>
      <c r="C11" s="5" t="inlineStr">
        <is>
          <t>BAC / CPI</t>
        </is>
      </c>
      <c r="D11" s="5" t="inlineStr">
        <is>
          <t>Computed</t>
        </is>
      </c>
      <c r="E11" s="5" t="inlineStr"/>
    </row>
    <row r="12">
      <c r="A12" s="5" t="inlineStr">
        <is>
          <t>VAC</t>
        </is>
      </c>
      <c r="B12" s="8">
        <f>B3-B11</f>
        <v/>
      </c>
      <c r="C12" s="5" t="inlineStr">
        <is>
          <t>BAC - EAC</t>
        </is>
      </c>
      <c r="D12" s="5" t="inlineStr">
        <is>
          <t>Computed</t>
        </is>
      </c>
      <c r="E12" s="5" t="inlineStr"/>
    </row>
    <row r="13">
      <c r="A13" s="5" t="inlineStr">
        <is>
          <t>TCPI</t>
        </is>
      </c>
      <c r="B13" s="41">
        <f>(B3-B5)/(B3-B6)</f>
        <v/>
      </c>
      <c r="C13" s="5" t="inlineStr">
        <is>
          <t>(BAC-EV)/(BAC-AC)</t>
        </is>
      </c>
      <c r="D13" s="5" t="inlineStr">
        <is>
          <t>Computed</t>
        </is>
      </c>
      <c r="E13" s="5" t="inlineStr"/>
    </row>
    <row r="16">
      <c r="A16" s="17" t="inlineStr">
        <is>
          <t>Basis B — Full contract BAC (EUR 92.4M). Comparable to P05/P06.</t>
        </is>
      </c>
    </row>
    <row r="17">
      <c r="A17" s="18" t="inlineStr">
        <is>
          <t>BAC (full contract)</t>
        </is>
      </c>
      <c r="B17" s="19" t="n">
        <v>92400000</v>
      </c>
      <c r="C17" s="18" t="inlineStr">
        <is>
          <t>PDC-BOQ-001 Rev A, per P05 workbook</t>
        </is>
      </c>
      <c r="D17" s="18" t="inlineStr">
        <is>
          <t>P05/P06 workbooks</t>
        </is>
      </c>
      <c r="E17" s="18" t="inlineStr">
        <is>
          <t>P05/P06 basis</t>
        </is>
      </c>
    </row>
    <row r="18">
      <c r="A18" s="5" t="inlineStr">
        <is>
          <t>PV to date</t>
        </is>
      </c>
      <c r="B18" s="8" t="n">
        <v>6861932</v>
      </c>
      <c r="C18" s="5" t="inlineStr">
        <is>
          <t>P06 PV + 1 month on baseline profile</t>
        </is>
      </c>
      <c r="D18" s="5" t="inlineStr">
        <is>
          <t>P05/P06 workbooks + S-curve</t>
        </is>
      </c>
      <c r="E18" s="5" t="inlineStr">
        <is>
          <t>Derived (approximate)</t>
        </is>
      </c>
    </row>
    <row r="19">
      <c r="A19" s="5" t="inlineStr">
        <is>
          <t>EV to date</t>
        </is>
      </c>
      <c r="B19" s="8" t="n">
        <v>7000000</v>
      </c>
      <c r="C19" s="5" t="inlineStr">
        <is>
          <t>P06 EV + 1 month on physical progress</t>
        </is>
      </c>
      <c r="D19" s="5" t="inlineStr">
        <is>
          <t>P06 workbook + P07 progress</t>
        </is>
      </c>
      <c r="E19" s="5" t="inlineStr">
        <is>
          <t>Derived; conservative</t>
        </is>
      </c>
    </row>
    <row r="20">
      <c r="A20" s="5" t="inlineStr">
        <is>
          <t>AC to date (cum)</t>
        </is>
      </c>
      <c r="B20" s="8" t="n">
        <v>7757800</v>
      </c>
      <c r="C20" s="5" t="inlineStr">
        <is>
          <t>Per PDC-CVR-P07</t>
        </is>
      </c>
      <c r="D20" s="5" t="inlineStr">
        <is>
          <t>PDC-CVR-P07</t>
        </is>
      </c>
      <c r="E20" s="5" t="inlineStr">
        <is>
          <t>Same as basis A</t>
        </is>
      </c>
    </row>
    <row r="21">
      <c r="A21" s="5" t="inlineStr">
        <is>
          <t>SV (Schedule Variance)</t>
        </is>
      </c>
      <c r="B21" s="8">
        <f>B20-B19</f>
        <v/>
      </c>
      <c r="C21" s="5" t="inlineStr">
        <is>
          <t>EV - PV</t>
        </is>
      </c>
      <c r="D21" s="5" t="inlineStr">
        <is>
          <t>Computed</t>
        </is>
      </c>
      <c r="E21" s="5" t="inlineStr"/>
    </row>
    <row r="22">
      <c r="A22" s="5" t="inlineStr">
        <is>
          <t>CV (Cost Variance)</t>
        </is>
      </c>
      <c r="B22" s="8">
        <f>B20-B21</f>
        <v/>
      </c>
      <c r="C22" s="5" t="inlineStr">
        <is>
          <t>EV - AC</t>
        </is>
      </c>
      <c r="D22" s="5" t="inlineStr">
        <is>
          <t>Computed</t>
        </is>
      </c>
      <c r="E22" s="5" t="inlineStr"/>
    </row>
    <row r="23">
      <c r="A23" s="5" t="inlineStr">
        <is>
          <t>SPI</t>
        </is>
      </c>
      <c r="B23" s="41">
        <f>B20/B19</f>
        <v/>
      </c>
      <c r="C23" s="5" t="inlineStr">
        <is>
          <t>EV / PV</t>
        </is>
      </c>
      <c r="D23" s="5" t="inlineStr">
        <is>
          <t>Computed</t>
        </is>
      </c>
      <c r="E23" s="5" t="inlineStr"/>
    </row>
    <row r="24">
      <c r="A24" s="5" t="inlineStr">
        <is>
          <t>CPI</t>
        </is>
      </c>
      <c r="B24" s="41">
        <f>B20/B21</f>
        <v/>
      </c>
      <c r="C24" s="5" t="inlineStr">
        <is>
          <t>EV / AC</t>
        </is>
      </c>
      <c r="D24" s="5" t="inlineStr">
        <is>
          <t>Computed</t>
        </is>
      </c>
      <c r="E24" s="5" t="inlineStr"/>
    </row>
    <row r="25">
      <c r="A25" s="5" t="inlineStr">
        <is>
          <t>EAC (BAC / CPI)</t>
        </is>
      </c>
      <c r="B25" s="41">
        <f>B17/B24</f>
        <v/>
      </c>
      <c r="C25" s="5" t="inlineStr">
        <is>
          <t>BAC / CPI</t>
        </is>
      </c>
      <c r="D25" s="5" t="inlineStr">
        <is>
          <t>Computed</t>
        </is>
      </c>
      <c r="E25" s="5" t="inlineStr"/>
    </row>
    <row r="26">
      <c r="A26" s="5" t="inlineStr">
        <is>
          <t>VAC</t>
        </is>
      </c>
      <c r="B26" s="8">
        <f>B17-B25</f>
        <v/>
      </c>
      <c r="C26" s="5" t="inlineStr">
        <is>
          <t>BAC - EAC</t>
        </is>
      </c>
      <c r="D26" s="5" t="inlineStr">
        <is>
          <t>Computed</t>
        </is>
      </c>
      <c r="E26" s="5" t="inlineStr"/>
    </row>
    <row r="27">
      <c r="A27" s="5" t="inlineStr">
        <is>
          <t>TCPI</t>
        </is>
      </c>
      <c r="B27" s="41">
        <f>(B17-B20)/(B17-B21)</f>
        <v/>
      </c>
      <c r="C27" s="5" t="inlineStr">
        <is>
          <t>(BAC-EV)/(BAC-AC)</t>
        </is>
      </c>
      <c r="D27" s="5" t="inlineStr">
        <is>
          <t>Computed</t>
        </is>
      </c>
      <c r="E27" s="5" t="inlineStr"/>
    </row>
  </sheetData>
  <mergeCells count="3">
    <mergeCell ref="A2:E2"/>
    <mergeCell ref="A16:E16"/>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5" customWidth="1" min="1" max="1"/>
    <col width="35" customWidth="1" min="2" max="2"/>
    <col width="30" customWidth="1" min="3" max="3"/>
    <col width="50" customWidth="1" min="4" max="4"/>
    <col width="50" customWidth="1" min="5" max="5"/>
  </cols>
  <sheetData>
    <row r="1">
      <c r="A1" s="1" t="inlineStr">
        <is>
          <t>Critical Path — Period 07 vs Period 06 — IL-1400 baseline dates from PDC-SCH-005 Rev2</t>
        </is>
      </c>
    </row>
    <row r="2">
      <c r="A2" s="18" t="inlineStr">
        <is>
          <t>Period</t>
        </is>
      </c>
      <c r="B2" s="18" t="inlineStr">
        <is>
          <t>Driving chain</t>
        </is>
      </c>
      <c r="C2" s="18" t="inlineStr">
        <is>
          <t>Float (wd)</t>
        </is>
      </c>
      <c r="D2" s="18" t="inlineStr">
        <is>
          <t>Date for Section 1</t>
        </is>
      </c>
      <c r="E2" s="18" t="inlineStr">
        <is>
          <t>Source / analysis</t>
        </is>
      </c>
    </row>
    <row r="3">
      <c r="A3" s="5" t="inlineStr">
        <is>
          <t>P05 (Jul 2026)</t>
        </is>
      </c>
      <c r="B3" s="5" t="inlineStr">
        <is>
          <t>DH1 piling → DH1 pile caps → DH2 excavation</t>
        </is>
      </c>
      <c r="C3" s="5" t="n">
        <v>2</v>
      </c>
      <c r="D3" s="40" t="n">
        <v>46509</v>
      </c>
      <c r="E3" s="5" t="inlineStr">
        <is>
          <t>P05 progress report §3</t>
        </is>
      </c>
    </row>
    <row r="4">
      <c r="A4" s="5" t="inlineStr">
        <is>
          <t>P06 (Aug 2026)</t>
        </is>
      </c>
      <c r="B4" s="5" t="inlineStr">
        <is>
          <t>DH2 piling → DH1 pile caps → DH2 slab</t>
        </is>
      </c>
      <c r="C4" s="5" t="n">
        <v>1</v>
      </c>
      <c r="D4" s="40" t="n">
        <v>46509</v>
      </c>
      <c r="E4" s="5" t="inlineStr">
        <is>
          <t>P06 progress report §3</t>
        </is>
      </c>
    </row>
    <row r="5">
      <c r="A5" s="12" t="inlineStr">
        <is>
          <t>P07 (Sep 2026)</t>
        </is>
      </c>
      <c r="B5" s="12" t="inlineStr">
        <is>
          <t>DH2 ground-floor slab → DH1 pile caps → 110 kV commissioning</t>
        </is>
      </c>
      <c r="C5" s="12" t="n">
        <v>0</v>
      </c>
      <c r="D5" s="42" t="n">
        <v>46509</v>
      </c>
      <c r="E5" s="12" t="inlineStr">
        <is>
          <t>PDC-MIN-P07 §4 (TL); tracked via SLP-L7 pin</t>
        </is>
      </c>
    </row>
    <row r="6">
      <c r="A6" s="5" t="inlineStr"/>
      <c r="B6" s="5" t="inlineStr"/>
      <c r="C6" s="5" t="inlineStr"/>
      <c r="D6" s="5" t="inlineStr"/>
      <c r="E6" s="5" t="inlineStr"/>
    </row>
    <row r="7">
      <c r="A7" s="5" t="inlineStr">
        <is>
          <t>IL-1400 — quoted baseline figures (PDC-SCH-005 Rev2)</t>
        </is>
      </c>
      <c r="B7" s="5" t="inlineStr"/>
      <c r="C7" s="5" t="inlineStr"/>
      <c r="D7" s="5" t="inlineStr"/>
      <c r="E7" s="5" t="inlineStr"/>
    </row>
    <row r="8">
      <c r="A8" s="5" t="inlineStr">
        <is>
          <t>Activity ID</t>
        </is>
      </c>
      <c r="B8" s="5" t="inlineStr">
        <is>
          <t>IL-1400</t>
        </is>
      </c>
      <c r="C8" s="5" t="inlineStr"/>
      <c r="D8" s="5" t="inlineStr"/>
      <c r="E8" s="5" t="inlineStr">
        <is>
          <t>PDC-SCH-005 Rev2, Activities sheet</t>
        </is>
      </c>
    </row>
    <row r="9">
      <c r="A9" s="5" t="inlineStr">
        <is>
          <t>Description</t>
        </is>
      </c>
      <c r="B9" s="5" t="inlineStr">
        <is>
          <t>Chilled water pipework — primary spine</t>
        </is>
      </c>
      <c r="C9" s="5" t="inlineStr"/>
      <c r="D9" s="5" t="inlineStr"/>
      <c r="E9" s="5" t="inlineStr">
        <is>
          <t>PDC-SCH-005 Rev2</t>
        </is>
      </c>
    </row>
    <row r="10">
      <c r="A10" s="5" t="inlineStr">
        <is>
          <t>Baseline duration</t>
        </is>
      </c>
      <c r="B10" s="5" t="inlineStr">
        <is>
          <t>70 working days</t>
        </is>
      </c>
      <c r="C10" s="5" t="inlineStr"/>
      <c r="D10" s="5" t="inlineStr"/>
      <c r="E10" s="5" t="inlineStr">
        <is>
          <t>PDC-SCH-005 Rev2</t>
        </is>
      </c>
    </row>
    <row r="11">
      <c r="A11" s="5" t="inlineStr">
        <is>
          <t>Baseline start</t>
        </is>
      </c>
      <c r="B11" s="5" t="inlineStr">
        <is>
          <t>2026-06-15</t>
        </is>
      </c>
      <c r="C11" s="5" t="inlineStr"/>
      <c r="D11" s="5" t="inlineStr"/>
      <c r="E11" s="5" t="inlineStr">
        <is>
          <t>PDC-SCH-005 Rev2</t>
        </is>
      </c>
    </row>
    <row r="12">
      <c r="A12" s="5" t="inlineStr">
        <is>
          <t>Baseline finish</t>
        </is>
      </c>
      <c r="B12" s="5" t="inlineStr">
        <is>
          <t>2026-10-12</t>
        </is>
      </c>
      <c r="C12" s="5" t="inlineStr"/>
      <c r="D12" s="5" t="inlineStr"/>
      <c r="E12" s="5" t="inlineStr">
        <is>
          <t>PDC-SCH-005 Rev2</t>
        </is>
      </c>
    </row>
    <row r="13">
      <c r="A13" s="5" t="inlineStr">
        <is>
          <t>Predecessor</t>
        </is>
      </c>
      <c r="B13" s="5" t="inlineStr">
        <is>
          <t>IL-1311</t>
        </is>
      </c>
      <c r="C13" s="5" t="inlineStr"/>
      <c r="D13" s="5" t="inlineStr"/>
      <c r="E13" s="5" t="inlineStr">
        <is>
          <t>PDC-SCH-005 Rev2 — slab structure, COMPLETE per diary 21.09.2026</t>
        </is>
      </c>
    </row>
    <row r="14">
      <c r="A14" s="12" t="inlineStr">
        <is>
          <t>Notes (baseline)</t>
        </is>
      </c>
      <c r="B14" s="12" t="inlineStr">
        <is>
          <t>Two welding gangs, 2,850m per BoQ F.06</t>
        </is>
      </c>
      <c r="C14" s="12" t="inlineStr"/>
      <c r="D14" s="12" t="inlineStr"/>
      <c r="E14" s="12" t="inlineStr">
        <is>
          <t>PDC-SCH-005 Rev2</t>
        </is>
      </c>
    </row>
    <row r="15">
      <c r="A15" s="5" t="inlineStr">
        <is>
          <t>Float (baseline column)</t>
        </is>
      </c>
      <c r="B15" s="5" t="inlineStr">
        <is>
          <t>NOT REPORTED — PDC-SCH-005 Rev2 has no float column</t>
        </is>
      </c>
      <c r="C15" s="5" t="inlineStr"/>
      <c r="D15" s="5" t="inlineStr"/>
      <c r="E15" s="5" t="inlineStr">
        <is>
          <t>PDC-SCH-005 Rev2 — only Dur / Start / Finish / Predecessor / Notes columns</t>
        </is>
      </c>
    </row>
    <row r="16">
      <c r="A16" s="5" t="inlineStr">
        <is>
          <t>IL-1510 (successor on critical path)</t>
        </is>
      </c>
      <c r="B16" s="5" t="inlineStr">
        <is>
          <t>Chiller installation and pipework connection</t>
        </is>
      </c>
      <c r="C16" s="5" t="inlineStr"/>
      <c r="D16" s="5" t="inlineStr"/>
      <c r="E16" s="5" t="inlineStr">
        <is>
          <t>PDC-SCH-005 Rev2</t>
        </is>
      </c>
    </row>
    <row r="17">
      <c r="A17" s="5" t="inlineStr">
        <is>
          <t>IL-1510 duration</t>
        </is>
      </c>
      <c r="B17" s="5" t="inlineStr">
        <is>
          <t>20 working days</t>
        </is>
      </c>
      <c r="C17" s="5" t="inlineStr"/>
      <c r="D17" s="5" t="inlineStr"/>
      <c r="E17" s="5" t="inlineStr">
        <is>
          <t>PDC-SCH-005 Rev2</t>
        </is>
      </c>
    </row>
    <row r="18">
      <c r="A18" s="5" t="inlineStr">
        <is>
          <t>IL-1510 start</t>
        </is>
      </c>
      <c r="B18" s="5" t="inlineStr">
        <is>
          <t>2027-01-29</t>
        </is>
      </c>
      <c r="C18" s="5" t="inlineStr"/>
      <c r="D18" s="5" t="inlineStr"/>
      <c r="E18" s="5" t="inlineStr">
        <is>
          <t>PDC-SCH-005 Rev2</t>
        </is>
      </c>
    </row>
    <row r="19">
      <c r="A19" s="5" t="inlineStr">
        <is>
          <t>IL-1510 finish</t>
        </is>
      </c>
      <c r="B19" s="5" t="inlineStr">
        <is>
          <t>2027-02-25</t>
        </is>
      </c>
      <c r="C19" s="5" t="inlineStr"/>
      <c r="D19" s="5" t="inlineStr"/>
      <c r="E19" s="5" t="inlineStr">
        <is>
          <t>PDC-SCH-005 Rev2</t>
        </is>
      </c>
    </row>
    <row r="20">
      <c r="A20" s="5" t="inlineStr">
        <is>
          <t>IL-1510 predecessors</t>
        </is>
      </c>
      <c r="B20" s="5" t="inlineStr">
        <is>
          <t>IL-1210, IL-1400</t>
        </is>
      </c>
      <c r="C20" s="5" t="inlineStr"/>
      <c r="D20" s="5" t="inlineStr"/>
      <c r="E20" s="5" t="inlineStr">
        <is>
          <t>PDC-SCH-005 Rev2</t>
        </is>
      </c>
    </row>
    <row r="21">
      <c r="A21" s="5" t="inlineStr"/>
      <c r="B21" s="5" t="inlineStr"/>
      <c r="C21" s="5" t="inlineStr"/>
      <c r="D21" s="5" t="inlineStr"/>
      <c r="E21" s="5" t="inlineStr"/>
    </row>
    <row r="22">
      <c r="A22" s="5" t="inlineStr">
        <is>
          <t>DERIVED float analysis — labelled as such, not a quoted baseline figure</t>
        </is>
      </c>
      <c r="B22" s="5" t="inlineStr"/>
      <c r="C22" s="5" t="inlineStr"/>
      <c r="D22" s="5" t="inlineStr"/>
      <c r="E22" s="5" t="inlineStr"/>
    </row>
    <row r="23">
      <c r="A23" s="5" t="inlineStr">
        <is>
          <t>IL-1400 finish → IL-1510 finish</t>
        </is>
      </c>
      <c r="B23" s="5" t="inlineStr">
        <is>
          <t>IL-1400 baseline finish 2026-10-12 → IL-1510 finish 2027-02-25 (predecessor link)</t>
        </is>
      </c>
      <c r="C23" s="5" t="inlineStr"/>
      <c r="D23" s="5" t="inlineStr"/>
      <c r="E23" s="5" t="inlineStr">
        <is>
          <t>PDC-SCH-005 Rev2</t>
        </is>
      </c>
    </row>
    <row r="24">
      <c r="A24" s="12" t="inlineStr">
        <is>
          <t>IL-1510 finish → Section 1 (2027-05-02)</t>
        </is>
      </c>
      <c r="B24" s="12" t="inlineStr">
        <is>
          <t>66 calendar days = 47 working days</t>
        </is>
      </c>
      <c r="C24" s="12" t="inlineStr"/>
      <c r="D24" s="12" t="inlineStr"/>
      <c r="E24" s="12" t="inlineStr">
        <is>
          <t>Calendar arithmetic; Section 1 per PDC-MIN-P07 §4</t>
        </is>
      </c>
    </row>
    <row r="25">
      <c r="A25" s="22" t="inlineStr">
        <is>
          <t>Buffer (commissioning, access, finishing)</t>
        </is>
      </c>
      <c r="B25" s="22" t="inlineStr">
        <is>
          <t>20 wd (accepted programme Sections L+M)</t>
        </is>
      </c>
      <c r="C25" s="22" t="inlineStr"/>
      <c r="D25" s="22" t="inlineStr"/>
      <c r="E25" s="22" t="inlineStr">
        <is>
          <t>Main contract programme, Sections L+M</t>
        </is>
      </c>
    </row>
    <row r="26">
      <c r="A26" s="5" t="inlineStr">
        <is>
          <t>DERIVED IL-1400 float to Section 1 (NOT quoted in baseline)</t>
        </is>
      </c>
      <c r="B26" s="5" t="inlineStr">
        <is>
          <t>AT LEAST 67 WORKING DAYS</t>
        </is>
      </c>
      <c r="C26" s="5" t="inlineStr">
        <is>
          <t>DERIVATION: IL-1400 finish + IL-1510 successor + 47 wd calendar + 20 wd buffer. This figure is NOT a quoted baseline float — the baseline has no float column.</t>
        </is>
      </c>
      <c r="D26" s="5" t="inlineStr"/>
      <c r="E26" s="5" t="inlineStr">
        <is>
          <t>Computed — flag as derived, not quoted</t>
        </is>
      </c>
    </row>
    <row r="27">
      <c r="A27" s="10" t="inlineStr">
        <is>
          <t>Position on critical path</t>
        </is>
      </c>
      <c r="B27" s="10" t="inlineStr">
        <is>
          <t>NOT on Section 1 critical path</t>
        </is>
      </c>
      <c r="C27" s="10" t="inlineStr"/>
      <c r="D27" s="10" t="inlineStr"/>
      <c r="E27" s="10" t="inlineStr">
        <is>
          <t>PDC-MIN-P07 §4 (TL)</t>
        </is>
      </c>
    </row>
    <row r="28">
      <c r="A28" s="5" t="inlineStr">
        <is>
          <t>Implication for ILM-NOT-003</t>
        </is>
      </c>
      <c r="B28" s="5" t="inlineStr">
        <is>
          <t>Cannot affect Section 1 date — derived 67 wd to IL-1400 successor + Section 1.</t>
        </is>
      </c>
      <c r="C28" s="5" t="inlineStr"/>
      <c r="D28" s="5" t="inlineStr"/>
      <c r="E28" s="5" t="inlineStr">
        <is>
          <t>Computed from quoted baseline dates; NOT a quoted baseline float</t>
        </is>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22" customWidth="1" min="1" max="1"/>
    <col width="40" customWidth="1" min="2" max="2"/>
    <col width="40" customWidth="1" min="3" max="3"/>
    <col width="22" customWidth="1" min="4" max="4"/>
    <col width="90" customWidth="1" min="5" max="5"/>
    <col width="30" customWidth="1" min="6" max="6"/>
  </cols>
  <sheetData>
    <row r="1">
      <c r="A1" s="1" t="inlineStr">
        <is>
          <t>Source-Conflict Log — P07 (governing records) — RevC operative PC (P07 cycle 5)</t>
        </is>
      </c>
    </row>
    <row r="2">
      <c r="A2" s="18" t="inlineStr">
        <is>
          <t>Item</t>
        </is>
      </c>
      <c r="B2" s="18" t="inlineStr">
        <is>
          <t>Sub-return value</t>
        </is>
      </c>
      <c r="C2" s="18" t="inlineStr">
        <is>
          <t>Site/QS record</t>
        </is>
      </c>
      <c r="D2" s="18" t="inlineStr">
        <is>
          <t>Governing record</t>
        </is>
      </c>
      <c r="E2" s="18" t="inlineStr">
        <is>
          <t>Reason</t>
        </is>
      </c>
      <c r="F2" s="18" t="inlineStr">
        <is>
          <t>Action</t>
        </is>
      </c>
    </row>
    <row r="3" ht="240" customHeight="1">
      <c r="A3" s="23" t="inlineStr">
        <is>
          <t>IL-1400 cooling spine % cum</t>
        </is>
      </c>
      <c r="B3" s="23" t="inlineStr">
        <is>
          <t>Ilmatek 48% (PDC-PROG-005-P07 row IL-1400)</t>
        </is>
      </c>
      <c r="C3" s="23" t="inlineStr">
        <is>
          <t>QS 46% (PDC-LAB-P07 QS sheet 28.09.2026)</t>
        </is>
      </c>
      <c r="D3" s="23" t="inlineStr">
        <is>
          <t>QS 46%</t>
        </is>
      </c>
      <c r="E3" s="23" t="inlineStr">
        <is>
          <t>PDC-SUB-005 Rev1 Cl. 6.1 requires a monthly application with Contractor certification within 14 days. The Progress Return rules (PDC correspondence) and the CVR-P07 actuals govern the percentage used for the IPC. The subcontract does not carry a specific 'pay on QS measurement' clause — that basis sits in the Progress Return rules. The QS site measure governs on the disputed % cum.</t>
        </is>
      </c>
      <c r="F3" s="23" t="inlineStr">
        <is>
          <t>Pay at 46% this period; monitor next period</t>
        </is>
      </c>
    </row>
    <row r="4" ht="240" customHeight="1">
      <c r="A4" s="24" t="inlineStr">
        <is>
          <t>DH2 waterproofing (C-1180)</t>
        </is>
      </c>
      <c r="B4" s="24" t="inlineStr">
        <is>
          <t>Kallio 100% (PDC-PROG-001-P07 row 59, complete 18.09.2026, certificate KMO-QC-0219)</t>
        </is>
      </c>
      <c r="C4" s="24" t="inlineStr">
        <is>
          <t>QS 90% (PDC-LAB-P07 QS 28–30.09.2026, bay W4 upstands ~24 m incomplete)</t>
        </is>
      </c>
      <c r="D4" s="24" t="inlineStr">
        <is>
          <t>QS 90%</t>
        </is>
      </c>
      <c r="E4" s="24" t="inlineStr">
        <is>
          <t>Direct site measure. KMO-QC-0219 was UNWITNESSED — Kallio's site QC only, 'main contractor representative unavailable' per Kallio's own record. Signed 20.09.2026 (two days after claimed completion). Slab poured 21.09.2026 over the non-conforming work. KMO-QC-0207 (W1+W2) is the only witnessed Kallio certificate on this scope.</t>
        </is>
      </c>
      <c r="F4" s="24" t="inlineStr">
        <is>
          <t>Pay at 90% this period; raise NCR PDC-NCR-001; require W4 completion before further pours (A07-01 by 07.10.2026)</t>
        </is>
      </c>
    </row>
    <row r="5" ht="240" customHeight="1">
      <c r="A5" s="23" t="inlineStr">
        <is>
          <t>ILM-NOT-003 EoT (22 WD)</t>
        </is>
      </c>
      <c r="B5" s="23" t="inlineStr">
        <is>
          <t>Ilmatek 22 WD (PDC-PROG-005-P07 Notice of Delay sheet, served 24.09.2026)</t>
        </is>
      </c>
      <c r="C5" s="23" t="inlineStr">
        <is>
          <t>No contract-side entitlement; productivity record on Ilmatek side</t>
        </is>
      </c>
      <c r="D5" s="23" t="inlineStr">
        <is>
          <t>Deny</t>
        </is>
      </c>
      <c r="E5" s="23" t="inlineStr">
        <is>
          <t>**Reasoned position under PDC-SUB-005 Rev1 + PDC-PC-001 RevC:** (a) **PDC-SUB-005 Rev1 Cl. 1.3 (General flow-down)** — verbatim: *"The Subcontractor's rights and obligations in relation to the Subcontract Works are co-extensive with the Contractor's rights and obligations under the Main Contract, so far as they apply to those works. The Subcontractor shall not be entitled to time or money in circumstances where the Contractor would not be entitled to the equivalent relief from the Employer, and no entitlement arises unless and to the extent the Contractor recovers from the Employer in respect of the same matter."* (b) **PDC-SUB-005 Rev1 Cl. 4.1 (Extension of Time)** — verbatim: *"The Subcontractor is entitled to an extension of time where completion of any Section is delayed by an act or omission of the Contractor, a variation, or a cause beyond the Subcontractor's reasonable control, **but only to the extent the Contractor obtains a corresponding extension under the Main Contract**."* (c) **PDC-SUB-005 Rev1 Cl. 4.2 (Concurrent delay)** — verbatim: *"… the Subcontractor is entitled to an extension of time only for the apportioned share attributable to the Contractor's or Employer's risk events, and is not entitled to Cost for any period of concurrent delay."* (d) **PDC-SUB-005 Rev1 Cl. 4.3 (21-day notice)** — ILM-NOT-003 served 24.09.2026; trigger event became known 21.09.2026; within time. (e) **PDC-PC-001 RevC SP-7 / Sub-Clause 8.5 (apportionment regime)** — verbatim: *"Where a delay for which the Contractor is responsible is concurrent with a delay for which the Contractor would otherwise be entitled to an extension of time, the Engineer shall apportion the delay between the concurrent causes on a fair and reasonable basis, having regard to the contemporary records. The Contractor shall be entitled to an extension of time for the apportioned share attributable to the Employer's risk events, **and shall not be entitled to Cost for any period of concurrent delay**."* (f) Productivity record on Ilmatek side (P05–P07 headcount 12 vs 11 planned; A05-05 recovery schedule still not received). (g) DH2 slab commenced on programme 21.09.2026 (diary). (h) IL-1400 baseline finish 2026-10-12 (PDC-SCH-005 Rev2) — derived 67 wd to Section 1 (2027-05-02) through successor IL-1510 (finish 2027-02-25) + 47 wd calendar + 20 wd buffer; **figure is a derivation, not a quoted baseline float**. **Does not affect Section 1 date.**</t>
        </is>
      </c>
      <c r="F5" s="23" t="inlineStr">
        <is>
          <t>Respond by 13.10.2026 under A07-04; deny on cost, deny on time — does not affect Section 1 date</t>
        </is>
      </c>
    </row>
    <row r="6" ht="240" customHeight="1">
      <c r="A6" s="24" t="inlineStr">
        <is>
          <t>Kallio PDC-SCH-001 Rev1 programme</t>
        </is>
      </c>
      <c r="B6" s="24" t="inlineStr">
        <is>
          <t>Kallio request acceptance as programme of record (PDC-SCH-001 Rev1 dated 22.09.2026)</t>
        </is>
      </c>
      <c r="C6" s="24" t="inlineStr">
        <is>
          <t>TL did not accept at meeting (PDC-MIN-P07 §4)</t>
        </is>
      </c>
      <c r="D6" s="24" t="inlineStr">
        <is>
          <t>Do not accept</t>
        </is>
      </c>
      <c r="E6" s="24" t="inlineStr">
        <is>
          <t>Field-by-field review (see Kallio SCH rev1 change log sheet). Rev1 renumbers activities (Act 50–65 instead of GW-1010–1340); Kallio covers MEP spine (Act 63) which is not their scope (it is Ilmatek's IL-1400); introduces DH3/DH4 activities beyond P07 scope; company name changed from 'Kallio &amp; Maa Oy' to 'Kallio Maanrakennus Oy'. Rev1 itself states Section 1 completion date is unaffected. 12 items: 4 REJECT, 4 ACCEPT, 4 NOTE.</t>
        </is>
      </c>
      <c r="F6" s="24" t="inlineStr">
        <is>
          <t>A07-03 — see Kallio SCH rev1 change log sheet (P07 cycle 2)</t>
        </is>
      </c>
    </row>
    <row r="7" ht="240" customHeight="1">
      <c r="A7" s="24" t="inlineStr">
        <is>
          <t>110 kV revised energisation date</t>
        </is>
      </c>
      <c r="B7" s="24" t="inlineStr">
        <is>
          <t>ER advised 24.04.2027 (PDC-LTR-PMC-014 dated 28.08.2026)</t>
        </is>
      </c>
      <c r="C7" s="24" t="inlineStr">
        <is>
          <t>No Contractor response issued within the 14-day window the ER set (window closed 11.09.2026)</t>
        </is>
      </c>
      <c r="D7" s="24" t="inlineStr">
        <is>
          <t>n/a — hold-harmless</t>
        </is>
      </c>
      <c r="E7" s="24" t="inlineStr">
        <is>
          <t>The Contractor is currently in default of a contractual request. The 14-day response window closed 11.09.2026 — 19 days ago at data date. Hold-harmless letter drafted (PDC-LTR-001-021, this period) for issue under separate cover. Substance response to follow once the time impact on Section 1 commissioning (MS-06, 02.05.2027) is properly modelled. **PDC-PC-001 RevC SP-7 / Sub-Clause 8.5 — apportionment regime (not bar); Cost bar retained. PDC-PC-001 RevC SP-15 / Sub-Clause 20.2.1 — 28-day notice reinstated in full; SP-15 / Sub-Clause 20.2.2 reinstated in full (Engineer's obligation to give notice of non-compliance).**</t>
        </is>
      </c>
      <c r="F7" s="24" t="inlineStr">
        <is>
          <t>Issue PDC-LTR-001-021 this week; modelled response by 31.10.2026</t>
        </is>
      </c>
    </row>
    <row r="8" ht="240" customHeight="1">
      <c r="A8" s="25" t="inlineStr">
        <is>
          <t>C-1140 NW zone cost (EI-004)</t>
        </is>
      </c>
      <c r="B8" s="25" t="inlineStr">
        <is>
          <t>**CORRECTED P07 cycle 2**: Kallio EUR 214,600 (PDC-COST-001-EI004 dated 16.09.2026 — 6 cost lines summed: 78,200 + 52,400 + 31,900 + 18,600 + 14,700 + 18,800)</t>
        </is>
      </c>
      <c r="C8" s="25" t="inlineStr">
        <is>
          <t>Incurred EUR 152,800 (PDC-CVR-P07 C-1140 — 5 cost lines: excavation 61,400 / disposal 44,900 / reaming 21,200 / supervision 10,900 / reinstatement 14,400)</t>
        </is>
      </c>
      <c r="D8" s="25" t="inlineStr">
        <is>
          <t>Reconcile</t>
        </is>
      </c>
      <c r="E8" s="25" t="inlineStr">
        <is>
          <t>P07 cycle 1 line-tally was wrong (EUR 178,400). Corrected total EUR 214,600. Difference vs incurred EUR 61,800. **One liability, not two.** Kallio's build-up includes items our CVR does not (prolongation prelims EUR 18,800 + standing time rig 2 EUR 14,700 = EUR 33,500) — both legitimately Kallio site-cost under EI-004 instruction. BOQ item B.04 remains a provisional sum EUR 102,762.98 — no rate agreed.</t>
        </is>
      </c>
      <c r="F8" s="25" t="inlineStr">
        <is>
          <t>A07-02 due 14.10.2026 — reconcile prolongation prelims and standing time as legitimate site cost</t>
        </is>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2" customWidth="1" min="1" max="1"/>
    <col width="32" customWidth="1" min="2" max="2"/>
    <col width="32" customWidth="1" min="3" max="3"/>
    <col width="42" customWidth="1" min="4" max="4"/>
    <col width="42" customWidth="1" min="5" max="5"/>
  </cols>
  <sheetData>
    <row r="1">
      <c r="A1" s="1" t="inlineStr">
        <is>
          <t>Kallio PDC-SCH-001 Rev1 — field-by-field change log vs Rev0 (Rev1 dated 22.09.2026)</t>
        </is>
      </c>
    </row>
    <row r="2">
      <c r="A2" s="17" t="inlineStr">
        <is>
          <t>Recommendation: do not accept as programme of record. Specific items to amend before acceptance listed below.</t>
        </is>
      </c>
    </row>
    <row r="3">
      <c r="A3" s="18" t="inlineStr">
        <is>
          <t>Activity / field</t>
        </is>
      </c>
      <c r="B3" s="18" t="inlineStr">
        <is>
          <t>Rev0 (baseline)</t>
        </is>
      </c>
      <c r="C3" s="18" t="inlineStr">
        <is>
          <t>Rev1 (proposed)</t>
        </is>
      </c>
      <c r="D3" s="18" t="inlineStr">
        <is>
          <t>What it does</t>
        </is>
      </c>
      <c r="E3" s="18" t="inlineStr">
        <is>
          <t>Concern / recommendation</t>
        </is>
      </c>
    </row>
    <row r="4" ht="90" customHeight="1">
      <c r="A4" s="24" t="inlineStr">
        <is>
          <t>Activity numbering scheme</t>
        </is>
      </c>
      <c r="B4" s="24" t="inlineStr">
        <is>
          <t>GW-1000 / GW-1010 / GW-1310 / GW-1320 / GW-1330 / GW-1340 (17 activities)</t>
        </is>
      </c>
      <c r="C4" s="24" t="inlineStr">
        <is>
          <t>Act 50 / 51 / 52 / 53 / 54 / 55 / 59 / 63 / 64 (9 visible activities, renumbered)</t>
        </is>
      </c>
      <c r="D4" s="24" t="inlineStr">
        <is>
          <t>Renumbered. Rev1 is a different programme structure — not a direct field-by-field replacement of Rev0.</t>
        </is>
      </c>
      <c r="E4" s="24" t="inlineStr">
        <is>
          <t>Cannot be directly compared field-by-field. Suggest Kallio provide a mapping table (Rev0 → Rev1) before acceptance.</t>
        </is>
      </c>
    </row>
    <row r="5" ht="90" customHeight="1">
      <c r="A5" s="26" t="inlineStr">
        <is>
          <t>DH1 piling (GW-1310 → Act 50)</t>
        </is>
      </c>
      <c r="B5" s="26" t="inlineStr">
        <is>
          <t>Start 18.05.2026 / Finish 25.08.2026 (50 wd)</t>
        </is>
      </c>
      <c r="C5" s="26" t="inlineStr">
        <is>
          <t>Start 01.07.2026 / Finish 11.09.2026 (53 wd) — actual finish</t>
        </is>
      </c>
      <c r="D5" s="26" t="inlineStr">
        <is>
          <t>Slip of 17 calendar days vs Rev0. Actual finish on programme per Kallio's own P05 forecast.</t>
        </is>
      </c>
      <c r="E5" s="26" t="inlineStr">
        <is>
          <t>Acceptable — the slip reflects actual field sequence, not a delay event.</t>
        </is>
      </c>
    </row>
    <row r="6" ht="90" customHeight="1">
      <c r="A6" s="26" t="inlineStr">
        <is>
          <t>DH2 piling (GW-1320 → Act 51)</t>
        </is>
      </c>
      <c r="B6" s="26" t="inlineStr">
        <is>
          <t>Start 27.04.2026 / Finish 31.07.2026 (70 wd)</t>
        </is>
      </c>
      <c r="C6" s="26" t="inlineStr">
        <is>
          <t>Start 13.07.2026 / Finish 15.09.2026 (47 wd)</t>
        </is>
      </c>
      <c r="D6" s="26" t="inlineStr">
        <is>
          <t>Duration compressed 70 → 47 wd. Actual finish 15.09.2026 on programme.</t>
        </is>
      </c>
      <c r="E6" s="26" t="inlineStr">
        <is>
          <t>Acceptable — the compression reflects actual production; verify the BOQ quantity alignment.</t>
        </is>
      </c>
    </row>
    <row r="7" ht="90" customHeight="1">
      <c r="A7" s="26" t="inlineStr">
        <is>
          <t>DH2 ground-floor slab (GW-1330 → Act 52)</t>
        </is>
      </c>
      <c r="B7" s="26" t="inlineStr">
        <is>
          <t>Start 03.08.2026 / Finish 22.09.2026 (36 wd)</t>
        </is>
      </c>
      <c r="C7" s="26" t="inlineStr">
        <is>
          <t>Start 21.09.2026 / Finish 20.10.2026 (22 wd) — staged pours 1-4</t>
        </is>
      </c>
      <c r="D7" s="26" t="inlineStr">
        <is>
          <t>Duration compressed 36 → 22 wd. Pours 1-4 staged.</t>
        </is>
      </c>
      <c r="E7" s="26" t="inlineStr">
        <is>
          <t>Acceptable — pour 1 of 4 done 21.09 (on programme). Pours 2-4 contingent on W4 waterproofing closure (A07-01).</t>
        </is>
      </c>
    </row>
    <row r="8" ht="90" customHeight="1">
      <c r="A8" s="23" t="inlineStr">
        <is>
          <t>DH2 waterproofing (GW-1340 → Act 59)</t>
        </is>
      </c>
      <c r="B8" s="23" t="inlineStr">
        <is>
          <t>Start 01.06.2026 / Finish 31.08.2026</t>
        </is>
      </c>
      <c r="C8" s="23" t="inlineStr">
        <is>
          <t>Complete 18.09.2026 — Kallio cert 100% (KMO-QC-0219)</t>
        </is>
      </c>
      <c r="D8" s="23" t="inlineStr">
        <is>
          <t>Actual completion 18.09.2026. Kallio's return certifies 100% (KMO-QC-0219). QS measured 90% on 28-30.09 (W4 upstands ~24 m incomplete). KMO-QC-0219 was UNWITNESSED.</t>
        </is>
      </c>
      <c r="E8" s="23" t="inlineStr">
        <is>
          <t>REJECT — programme cannot carry 100% completion when QS measure 90% and the certificate is unwitnessed. Carry NCR PDC-NCR-001 finding into the programme comment.</t>
        </is>
      </c>
    </row>
    <row r="9" ht="90" customHeight="1">
      <c r="A9" s="23" t="inlineStr">
        <is>
          <t>MEP spine (Act 63 — new in Rev1)</t>
        </is>
      </c>
      <c r="B9" s="23" t="inlineStr">
        <is>
          <t>Not in Rev0 — Kallio scope ended at structural slab in Rev0</t>
        </is>
      </c>
      <c r="C9" s="23" t="inlineStr">
        <is>
          <t>Act 63 introduced — MEP spine primary (F.06)</t>
        </is>
      </c>
      <c r="D9" s="23" t="inlineStr">
        <is>
          <t>Scope creep into MEP — this is Ilmatek's scope (IL-1400), not Kallio's. Kallio has added an activity that is not their scope.</t>
        </is>
      </c>
      <c r="E9" s="23" t="inlineStr">
        <is>
          <t>REJECT — remove Act 63; this is IL-1400 and is on the Ilmatek programme PDC-SCH-005 Rev2.</t>
        </is>
      </c>
    </row>
    <row r="10" ht="90" customHeight="1">
      <c r="A10" s="25" t="inlineStr">
        <is>
          <t>DH3 / DH4 waterproofing (Act 60 / Act 61 — new in Rev1)</t>
        </is>
      </c>
      <c r="B10" s="25" t="inlineStr">
        <is>
          <t>Not in Rev0 — only DH1, DH2 stages</t>
        </is>
      </c>
      <c r="C10" s="25" t="inlineStr">
        <is>
          <t>Act 60 / Act 61 added — DH3 and DH4 waterproofing</t>
        </is>
      </c>
      <c r="D10" s="25" t="inlineStr">
        <is>
          <t>Rev1 introduces later DH3 and DH4 stages that were not in Rev0. Kallio may be projecting forward to the next data hall, which is beyond this report's scope.</t>
        </is>
      </c>
      <c r="E10" s="25" t="inlineStr">
        <is>
          <t>NOTE — request Kallio to confirm whether DH3/DH4 are in scope at P07, or projected for forward planning only.</t>
        </is>
      </c>
    </row>
    <row r="11" ht="90" customHeight="1">
      <c r="A11" s="26" t="inlineStr">
        <is>
          <t>Predecessor logic (key chains)</t>
        </is>
      </c>
      <c r="B11" s="26" t="inlineStr">
        <is>
          <t>Act 51 (DH2 piling) → Act 52 (DH2 slab) FS constraint</t>
        </is>
      </c>
      <c r="C11" s="26" t="inlineStr">
        <is>
          <t>Act 50 → Act 51 SS+15 (DH2 piling starts 15 wd after DH1 piling finishes)</t>
        </is>
      </c>
      <c r="D11" s="26" t="inlineStr">
        <is>
          <t>Rev1 uses SS+15 from DH1 to DH2 piling. In Rev0 the chain was FS with a longer lag.</t>
        </is>
      </c>
      <c r="E11" s="26" t="inlineStr">
        <is>
          <t>Accepted — SS+15 is realistic; verify the actual field sequence (DH2 piling started 13.07, DH1 pile started 01.07 — 12 wd gap, close to 15).</t>
        </is>
      </c>
    </row>
    <row r="12" ht="90" customHeight="1">
      <c r="A12" s="26" t="inlineStr">
        <is>
          <t>Section 1 completion date</t>
        </is>
      </c>
      <c r="B12" s="26" t="inlineStr">
        <is>
          <t>02.05.2027 (implicit)</t>
        </is>
      </c>
      <c r="C12" s="26" t="inlineStr">
        <is>
          <t>02.05.2027 (explicit — Kallio states Section 1 unaffected)</t>
        </is>
      </c>
      <c r="D12" s="26" t="inlineStr">
        <is>
          <t>Rev1 explicitly states Section 1 completion date is unaffected by the Rev1 changes.</t>
        </is>
      </c>
      <c r="E12" s="26" t="inlineStr">
        <is>
          <t>Accepted — no EoT is sought by this revision.</t>
        </is>
      </c>
    </row>
    <row r="13" ht="90" customHeight="1">
      <c r="A13" s="24" t="inlineStr">
        <is>
          <t>Kallio entity name on the cover</t>
        </is>
      </c>
      <c r="B13" s="24" t="inlineStr">
        <is>
          <t>Kallio &amp; Maa Oy (per Rev0 cover)</t>
        </is>
      </c>
      <c r="C13" s="24" t="inlineStr">
        <is>
          <t>Kallio Maanrakennus Oy (per Rev1 cover)</t>
        </is>
      </c>
      <c r="D13" s="24" t="inlineStr">
        <is>
          <t>Company name has changed on the documents. May be a rebrand/restructure, or a different entity entirely.</t>
        </is>
      </c>
      <c r="E13" s="24" t="inlineStr">
        <is>
          <t>Verify name change is on the Kallio register / the subcontract parties. Confirm subcontract PDC-SUB-001 is still in the correct name.</t>
        </is>
      </c>
    </row>
    <row r="14" ht="90" customHeight="1">
      <c r="A14" s="25" t="inlineStr">
        <is>
          <t>Resource / crew changes</t>
        </is>
      </c>
      <c r="B14" s="25" t="inlineStr">
        <is>
          <t>Single set of gangs per front</t>
        </is>
      </c>
      <c r="C14" s="25" t="inlineStr">
        <is>
          <t>Unchanged in Rev1</t>
        </is>
      </c>
      <c r="D14" s="25" t="inlineStr">
        <is>
          <t>No resourcing change to back the schedule compression.</t>
        </is>
      </c>
      <c r="E14" s="25" t="inlineStr">
        <is>
          <t>NOTE — flag at review; ask Kallio for the resource plan that supports the compression.</t>
        </is>
      </c>
    </row>
    <row r="15" ht="90" customHeight="1">
      <c r="A15" s="23" t="inlineStr">
        <is>
          <t>Float on Kallio scope</t>
        </is>
      </c>
      <c r="B15" s="23" t="inlineStr">
        <is>
          <t>Implied 2 wd (per P05 report)</t>
        </is>
      </c>
      <c r="C15" s="23" t="inlineStr">
        <is>
          <t>Implicit, no explicit float declared in Rev1</t>
        </is>
      </c>
      <c r="D15" s="23" t="inlineStr">
        <is>
          <t>Rev1 does not declare total float on each activity.</t>
        </is>
      </c>
      <c r="E15" s="23" t="inlineStr">
        <is>
          <t>REJECT — float declaration is a standard output of an accepted programme. Ask Kallio for the float calculation.</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50" customWidth="1" min="1" max="1"/>
    <col width="22" customWidth="1" min="2" max="2"/>
    <col width="14" customWidth="1" min="3" max="3"/>
    <col width="12" customWidth="1" min="4" max="4"/>
    <col width="50" customWidth="1" min="5" max="5"/>
  </cols>
  <sheetData>
    <row r="1">
      <c r="A1" s="1" t="inlineStr">
        <is>
          <t>Open Checks / Actions — P07 + carried from P05/P06</t>
        </is>
      </c>
    </row>
    <row r="2">
      <c r="A2" s="18" t="inlineStr">
        <is>
          <t>Action</t>
        </is>
      </c>
      <c r="B2" s="18" t="inlineStr">
        <is>
          <t>Owner</t>
        </is>
      </c>
      <c r="C2" s="18" t="inlineStr">
        <is>
          <t>Due</t>
        </is>
      </c>
      <c r="D2" s="18" t="inlineStr">
        <is>
          <t>Status</t>
        </is>
      </c>
      <c r="E2" s="18" t="inlineStr">
        <is>
          <t>Notes</t>
        </is>
      </c>
    </row>
    <row r="3" ht="45" customHeight="1">
      <c r="A3" s="26" t="inlineStr">
        <is>
          <t>A06-01 EI-004 cost build-up submission</t>
        </is>
      </c>
      <c r="B3" s="26" t="inlineStr">
        <is>
          <t>PK / Kallio</t>
        </is>
      </c>
      <c r="C3" s="26" t="inlineStr">
        <is>
          <t>31.08.2026</t>
        </is>
      </c>
      <c r="D3" s="26" t="inlineStr">
        <is>
          <t>Closed</t>
        </is>
      </c>
      <c r="E3" s="26" t="inlineStr">
        <is>
          <t>PDC-COST-001-EI004 received 16.09.2026 — CORRECTED total EUR 214,600</t>
        </is>
      </c>
    </row>
    <row r="4" ht="45" customHeight="1">
      <c r="A4" s="26" t="inlineStr">
        <is>
          <t>A06-02 NW zone made-ground completion</t>
        </is>
      </c>
      <c r="B4" s="26" t="inlineStr">
        <is>
          <t>PK / Kallio</t>
        </is>
      </c>
      <c r="C4" s="26" t="inlineStr">
        <is>
          <t>31.08.2026</t>
        </is>
      </c>
      <c r="D4" s="26" t="inlineStr">
        <is>
          <t>Closed</t>
        </is>
      </c>
      <c r="E4" s="26" t="inlineStr">
        <is>
          <t>Worked 30.09.2026 — see C-1140 reconciliation (A07-02)</t>
        </is>
      </c>
    </row>
    <row r="5" ht="45" customHeight="1">
      <c r="A5" s="26" t="inlineStr">
        <is>
          <t>A06-03 Piling completion confirmation</t>
        </is>
      </c>
      <c r="B5" s="26" t="inlineStr">
        <is>
          <t>PK / Kallio</t>
        </is>
      </c>
      <c r="C5" s="26" t="inlineStr">
        <is>
          <t>15.09.2026</t>
        </is>
      </c>
      <c r="D5" s="26" t="inlineStr">
        <is>
          <t>Closed</t>
        </is>
      </c>
      <c r="E5" s="26" t="inlineStr">
        <is>
          <t>DH1 11.09 — on programme; DH2 15.09 — on programme</t>
        </is>
      </c>
    </row>
    <row r="6" ht="45" customHeight="1">
      <c r="A6" s="26" t="inlineStr">
        <is>
          <t>A06-04 DH2 ground floor slab pour 1</t>
        </is>
      </c>
      <c r="B6" s="26" t="inlineStr">
        <is>
          <t>PK / Kallio</t>
        </is>
      </c>
      <c r="C6" s="26" t="inlineStr">
        <is>
          <t>22.09.2026</t>
        </is>
      </c>
      <c r="D6" s="26" t="inlineStr">
        <is>
          <t>Closed</t>
        </is>
      </c>
      <c r="E6" s="26" t="inlineStr">
        <is>
          <t>Poured 21.09.2026</t>
        </is>
      </c>
    </row>
    <row r="7" ht="45" customHeight="1">
      <c r="A7" s="24" t="inlineStr">
        <is>
          <t>A06-05 EI-004 L2 quotation</t>
        </is>
      </c>
      <c r="B7" s="24" t="inlineStr">
        <is>
          <t>JV / PMC</t>
        </is>
      </c>
      <c r="C7" s="24" t="inlineStr">
        <is>
          <t>15.09.2026</t>
        </is>
      </c>
      <c r="D7" s="24" t="inlineStr">
        <is>
          <t>Open</t>
        </is>
      </c>
      <c r="E7" s="24" t="inlineStr">
        <is>
          <t>Quotation in build-up; carry forward</t>
        </is>
      </c>
    </row>
    <row r="8" ht="45" customHeight="1">
      <c r="A8" s="24" t="inlineStr">
        <is>
          <t>A06-06 DH2 waterproofing inspection</t>
        </is>
      </c>
      <c r="B8" s="24" t="inlineStr">
        <is>
          <t>PK / Kallio + MN (QS)</t>
        </is>
      </c>
      <c r="C8" s="24" t="inlineStr">
        <is>
          <t>18.09.2026</t>
        </is>
      </c>
      <c r="D8" s="24" t="inlineStr">
        <is>
          <t>Disputed</t>
        </is>
      </c>
      <c r="E8" s="24" t="inlineStr">
        <is>
          <t>Kallio cert 100% via KMO-QC-0219 (UNWITNESSED); QS 90% — see NCR PDC-NCR-001 and Certificate Register</t>
        </is>
      </c>
    </row>
    <row r="9" ht="45" customHeight="1">
      <c r="A9" s="24" t="inlineStr">
        <is>
          <t>A05-05 Ilmatek recovery schedule</t>
        </is>
      </c>
      <c r="B9" s="24" t="inlineStr">
        <is>
          <t>Ilmatek / TL</t>
        </is>
      </c>
      <c r="C9" s="24" t="inlineStr">
        <is>
          <t>31.08.2026</t>
        </is>
      </c>
      <c r="D9" s="24" t="inlineStr">
        <is>
          <t>Open</t>
        </is>
      </c>
      <c r="E9" s="24" t="inlineStr">
        <is>
          <t>Not received; productivity record (P05/P06/P07) below plan; ILM-NOT-003 served 24.09 instead</t>
        </is>
      </c>
    </row>
    <row r="10" ht="45" customHeight="1">
      <c r="A10" s="25" t="inlineStr">
        <is>
          <t>A07-01 Complete bay W4 DH2 waterproofing upstands</t>
        </is>
      </c>
      <c r="B10" s="25" t="inlineStr">
        <is>
          <t>PK / Kallio</t>
        </is>
      </c>
      <c r="C10" s="25" t="inlineStr">
        <is>
          <t>07.10.2026</t>
        </is>
      </c>
      <c r="D10" s="25" t="inlineStr">
        <is>
          <t>New</t>
        </is>
      </c>
      <c r="E10" s="25" t="inlineStr">
        <is>
          <t>Required before pours 2-4; NCR PDC-NCR-001 issued</t>
        </is>
      </c>
    </row>
    <row r="11" ht="45" customHeight="1">
      <c r="A11" s="25" t="inlineStr">
        <is>
          <t>A07-02 C-1140 reconciliation (Kallio vs direct)</t>
        </is>
      </c>
      <c r="B11" s="25" t="inlineStr">
        <is>
          <t>PK / Kallio + commercial</t>
        </is>
      </c>
      <c r="C11" s="25" t="inlineStr">
        <is>
          <t>14.10.2026</t>
        </is>
      </c>
      <c r="D11" s="25" t="inlineStr">
        <is>
          <t>New</t>
        </is>
      </c>
      <c r="E11" s="25" t="inlineStr">
        <is>
          <t>One liability, not two. CORRECTED: Kallio EUR 214,600, incurred EUR 152,800, diff EUR 61,800.</t>
        </is>
      </c>
    </row>
    <row r="12" ht="45" customHeight="1">
      <c r="A12" s="24" t="inlineStr">
        <is>
          <t>A07-03 Kallio PDC-SCH-001 Rev1 review (field-by-field)</t>
        </is>
      </c>
      <c r="B12" s="24" t="inlineStr">
        <is>
          <t>TL</t>
        </is>
      </c>
      <c r="C12" s="24" t="inlineStr">
        <is>
          <t>13.10.2026</t>
        </is>
      </c>
      <c r="D12" s="24" t="inlineStr">
        <is>
          <t>Closed (this report)</t>
        </is>
      </c>
      <c r="E12" s="24" t="inlineStr">
        <is>
          <t>See 'Kallio SCH rev1 change log' sheet — 12 items: 4 REJECT, 4 ACCEPT, 4 NOTE</t>
        </is>
      </c>
    </row>
    <row r="13" ht="45" customHeight="1">
      <c r="A13" s="25" t="inlineStr">
        <is>
          <t>A07-04 Respond to ILM-NOT-003</t>
        </is>
      </c>
      <c r="B13" s="25" t="inlineStr">
        <is>
          <t>TL / contracts</t>
        </is>
      </c>
      <c r="C13" s="25" t="inlineStr">
        <is>
          <t>13.10.2026</t>
        </is>
      </c>
      <c r="D13" s="25" t="inlineStr">
        <is>
          <t>New</t>
        </is>
      </c>
      <c r="E13" s="25" t="inlineStr">
        <is>
          <t>Reasoned position: PDC-SUB-005 Rev1 Cl. 1.3 (General flow-down) + Cl. 4.1 (EoT back-to-back) + Cl. 4.2 (concurrent delay apportionment). IL-1400 derived 67 wd to Section 1 (NOT a quoted baseline float — baseline has no float column). Deny on cost; deny on time.</t>
        </is>
      </c>
    </row>
    <row r="14" ht="45" customHeight="1">
      <c r="A14" s="25" t="inlineStr">
        <is>
          <t>A07-05 Issue hold-harmless response to PDC-LTR-PMC-014</t>
        </is>
      </c>
      <c r="B14" s="25" t="inlineStr">
        <is>
          <t>Contracts</t>
        </is>
      </c>
      <c r="C14" s="25" t="inlineStr">
        <is>
          <t>06.10.2026</t>
        </is>
      </c>
      <c r="D14" s="25" t="inlineStr">
        <is>
          <t>New</t>
        </is>
      </c>
      <c r="E14" s="25" t="inlineStr">
        <is>
          <t>DRAFT prepared this period (PDC-LTR-001-021); 14-day window closed 11.09.2026 — 19 days ago; modelled response by 31.10.2026. **Operative PC is RevC — 28-day notice per SP-15; 20.2.2 reinstated in full; SP-7 apportionment regime.**</t>
        </is>
      </c>
    </row>
    <row r="15" ht="45" customHeight="1">
      <c r="A15" s="25" t="inlineStr">
        <is>
          <t>A07-06 EI-005 quotation</t>
        </is>
      </c>
      <c r="B15" s="25" t="inlineStr">
        <is>
          <t>JV / PMC</t>
        </is>
      </c>
      <c r="C15" s="25" t="inlineStr">
        <is>
          <t>20.10.2026</t>
        </is>
      </c>
      <c r="D15" s="25" t="inlineStr">
        <is>
          <t>New</t>
        </is>
      </c>
      <c r="E15" s="25" t="inlineStr">
        <is>
          <t>Per PDC-EI-005 Cl. 2; PDC-PC-001 RevC SP-9 / Sub-Clause 13.3.1 — interim valuation wording</t>
        </is>
      </c>
    </row>
    <row r="16" ht="45" customHeight="1">
      <c r="A16" s="25" t="inlineStr">
        <is>
          <t>A07-07 Cost recovery mechanism review (BAC vs CPI)</t>
        </is>
      </c>
      <c r="B16" s="25" t="inlineStr">
        <is>
          <t>Commercial / PMC</t>
        </is>
      </c>
      <c r="C16" s="25" t="inlineStr">
        <is>
          <t>20.10.2026</t>
        </is>
      </c>
      <c r="D16" s="25" t="inlineStr">
        <is>
          <t>New</t>
        </is>
      </c>
      <c r="E16" s="25" t="inlineStr">
        <is>
          <t>Activity subset CPI 0.697 / EAC EUR 11.97M. Full BAC CPI 0.902 / EAC EUR 102.4M. Both bases flag Kallio cost concentration. Review contractual recovery options.</t>
        </is>
      </c>
    </row>
    <row r="17" ht="45" customHeight="1">
      <c r="A17" s="25" t="inlineStr">
        <is>
          <t>A07-08 P08 to report SV / CV / ETC explicitly</t>
        </is>
      </c>
      <c r="B17" s="25" t="inlineStr">
        <is>
          <t>PMC (planning)</t>
        </is>
      </c>
      <c r="C17" s="25" t="inlineStr">
        <is>
          <t>13.10.2026 (next report)</t>
        </is>
      </c>
      <c r="D17" s="25" t="inlineStr">
        <is>
          <t>New</t>
        </is>
      </c>
      <c r="E17" s="25" t="inlineStr">
        <is>
          <t>SV/CV reported only in P05; ETC missing from P05/P06/P07. P08 should report all three.</t>
        </is>
      </c>
    </row>
    <row r="18" ht="45" customHeight="1">
      <c r="A18" s="25" t="inlineStr">
        <is>
          <t>A07-09 Confirm operative PC for P08 onwards</t>
        </is>
      </c>
      <c r="B18" s="25" t="inlineStr">
        <is>
          <t>PD / PMC</t>
        </is>
      </c>
      <c r="C18" s="25" t="inlineStr">
        <is>
          <t>13.10.2026</t>
        </is>
      </c>
      <c r="D18" s="25" t="inlineStr">
        <is>
          <t>New</t>
        </is>
      </c>
      <c r="E18" s="25" t="inlineStr">
        <is>
          <t>P05–P07 cycle 4 was drafted on PDC-PC-001 RevB terms. P07 cycle 5 corrects to PDC-PC-001 RevC (FINAL, 24.02.2026). PD to confirm RevC is operative for all future reporting.</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8" customWidth="1" min="1" max="1"/>
    <col width="18" customWidth="1" min="2" max="2"/>
    <col width="18" customWidth="1" min="3" max="3"/>
    <col width="22" customWidth="1" min="4" max="4"/>
    <col width="38" customWidth="1" min="5" max="5"/>
  </cols>
  <sheetData>
    <row r="1">
      <c r="A1" s="1" t="inlineStr">
        <is>
          <t>Period-on-period — P05 / P06 / P07 (full BAC EUR 92.4M basis — from reported workbooks)</t>
        </is>
      </c>
    </row>
    <row r="2">
      <c r="A2" s="18" t="inlineStr">
        <is>
          <t>Metric</t>
        </is>
      </c>
      <c r="B2" s="18" t="inlineStr">
        <is>
          <t>P05 (Jul 2026)</t>
        </is>
      </c>
      <c r="C2" s="18" t="inlineStr">
        <is>
          <t>P06 (Aug 2026)</t>
        </is>
      </c>
      <c r="D2" s="18" t="inlineStr">
        <is>
          <t>P07 (Sep 2026)</t>
        </is>
      </c>
      <c r="E2" s="18" t="inlineStr">
        <is>
          <t>Direction</t>
        </is>
      </c>
    </row>
    <row r="3" ht="30" customHeight="1">
      <c r="A3" s="26" t="inlineStr">
        <is>
          <t>SPI (full BAC)</t>
        </is>
      </c>
      <c r="B3" s="43" t="n">
        <v>0.98</v>
      </c>
      <c r="C3" s="43" t="n">
        <v>1.03</v>
      </c>
      <c r="D3" s="43" t="n">
        <v>1.02</v>
      </c>
      <c r="E3" s="26" t="inlineStr">
        <is>
          <t>Improvement vs P05; stable vs P06</t>
        </is>
      </c>
    </row>
    <row r="4" ht="30" customHeight="1">
      <c r="A4" s="24" t="inlineStr">
        <is>
          <t>SPI (activity subset)</t>
        </is>
      </c>
      <c r="B4" s="44" t="n"/>
      <c r="C4" s="44" t="n"/>
      <c r="D4" s="44" t="n">
        <v>0.998</v>
      </c>
      <c r="E4" s="24" t="inlineStr">
        <is>
          <t>Activity subset not reported in P05/P06</t>
        </is>
      </c>
    </row>
    <row r="5" ht="30" customHeight="1">
      <c r="A5" s="24" t="inlineStr">
        <is>
          <t>CPI (full BAC) — reported value</t>
        </is>
      </c>
      <c r="B5" s="44" t="n">
        <v>0.859</v>
      </c>
      <c r="C5" s="44" t="n">
        <v>0.9399999999999999</v>
      </c>
      <c r="D5" s="44" t="n">
        <v>0.902</v>
      </c>
      <c r="E5" s="24" t="inlineStr">
        <is>
          <t>P05 reported 0.859 (workbook reports as 0.86 in narrative). P06 INDICATIVE 0.94.</t>
        </is>
      </c>
    </row>
    <row r="6" ht="30" customHeight="1">
      <c r="A6" s="24" t="inlineStr">
        <is>
          <t>CPI (activity subset)</t>
        </is>
      </c>
      <c r="B6" s="44" t="n"/>
      <c r="C6" s="44" t="n"/>
      <c r="D6" s="44" t="n">
        <v>0.697</v>
      </c>
      <c r="E6" s="24" t="inlineStr">
        <is>
          <t>Activity subset not reported in P05/P06</t>
        </is>
      </c>
    </row>
    <row r="7" ht="30" customHeight="1">
      <c r="A7" s="24" t="inlineStr">
        <is>
          <t>EAC (formal = BAC/CPI, EUR)</t>
        </is>
      </c>
      <c r="B7" s="29" t="n">
        <v>107514938</v>
      </c>
      <c r="C7" s="29" t="n">
        <v>97900000</v>
      </c>
      <c r="D7" s="29" t="n">
        <v>102402960</v>
      </c>
      <c r="E7" s="24" t="inlineStr">
        <is>
          <t>P05 EAC EUR 107,514,938 (formal). P06 INDICATIVE EUR 97.9M.</t>
        </is>
      </c>
    </row>
    <row r="8" ht="30" customHeight="1">
      <c r="A8" s="24" t="inlineStr">
        <is>
          <t>VAC (BAC − formal EAC, EUR)</t>
        </is>
      </c>
      <c r="B8" s="29" t="n">
        <v>-15114938</v>
      </c>
      <c r="C8" s="29" t="n">
        <v>-5500000</v>
      </c>
      <c r="D8" s="29" t="n">
        <v>-10002960</v>
      </c>
      <c r="E8" s="24" t="inlineStr">
        <is>
          <t>P05 VAC EUR -15,114,938. P06 INDICATIVE EUR -5.5M.</t>
        </is>
      </c>
    </row>
    <row r="9" ht="30" customHeight="1">
      <c r="A9" s="24" t="inlineStr">
        <is>
          <t>PM manual EAC (EUR)</t>
        </is>
      </c>
      <c r="B9" s="29" t="n">
        <v>92400000</v>
      </c>
      <c r="C9" s="29" t="n"/>
      <c r="D9" s="29" t="n"/>
      <c r="E9" s="24" t="inlineStr">
        <is>
          <t>P05 PM EAC held at BAC. P06 not reported. P07 not reported.</t>
        </is>
      </c>
    </row>
    <row r="10" ht="30" customHeight="1">
      <c r="A10" s="24" t="inlineStr">
        <is>
          <t>TCPI to BAC</t>
        </is>
      </c>
      <c r="B10" s="44" t="n">
        <v>0.989</v>
      </c>
      <c r="C10" s="44" t="n"/>
      <c r="D10" s="44" t="n">
        <v>1.011</v>
      </c>
      <c r="E10" s="24" t="inlineStr">
        <is>
          <t>P05 reported 0.989. P06 not reported.</t>
        </is>
      </c>
    </row>
    <row r="11" ht="30" customHeight="1">
      <c r="A11" s="23" t="inlineStr">
        <is>
          <t>Critical-path float (wd)</t>
        </is>
      </c>
      <c r="B11" s="30" t="n">
        <v>2</v>
      </c>
      <c r="C11" s="30" t="n">
        <v>1</v>
      </c>
      <c r="D11" s="30" t="n">
        <v>0</v>
      </c>
      <c r="E11" s="23" t="inlineStr">
        <is>
          <t>Gone</t>
        </is>
      </c>
    </row>
    <row r="12" ht="30" customHeight="1">
      <c r="A12" s="24" t="inlineStr">
        <is>
          <t>DH1 piling completion %</t>
        </is>
      </c>
      <c r="B12" s="24" t="n">
        <v>0.55</v>
      </c>
      <c r="C12" s="24" t="n">
        <v>0.85</v>
      </c>
      <c r="D12" s="24" t="n">
        <v>1</v>
      </c>
      <c r="E12" s="24" t="inlineStr">
        <is>
          <t>Complete on programme 11.09</t>
        </is>
      </c>
    </row>
    <row r="13" ht="30" customHeight="1">
      <c r="A13" s="24" t="inlineStr">
        <is>
          <t>DH2 piling completion %</t>
        </is>
      </c>
      <c r="B13" s="24" t="n">
        <v>0.3</v>
      </c>
      <c r="C13" s="24" t="n">
        <v>0.7</v>
      </c>
      <c r="D13" s="24" t="n">
        <v>1</v>
      </c>
      <c r="E13" s="24" t="inlineStr">
        <is>
          <t>Complete on programme 15.09</t>
        </is>
      </c>
    </row>
    <row r="14" ht="30" customHeight="1">
      <c r="A14" s="24" t="inlineStr">
        <is>
          <t>DH2 waterproofing % (Kallio)</t>
        </is>
      </c>
      <c r="B14" s="24" t="n">
        <v>0</v>
      </c>
      <c r="C14" s="24" t="n">
        <v>0.55</v>
      </c>
      <c r="D14" s="24" t="n">
        <v>1</v>
      </c>
      <c r="E14" s="24" t="inlineStr">
        <is>
          <t>Kallio KMO-QC-0219 — UNWITNESSED — disputed by QS</t>
        </is>
      </c>
    </row>
    <row r="15" ht="30" customHeight="1">
      <c r="A15" s="24" t="inlineStr">
        <is>
          <t>DH2 waterproofing % (QS)</t>
        </is>
      </c>
      <c r="B15" s="24" t="n">
        <v>0</v>
      </c>
      <c r="C15" s="24" t="n">
        <v>0.55</v>
      </c>
      <c r="D15" s="24" t="n">
        <v>0.9</v>
      </c>
      <c r="E15" s="24" t="inlineStr">
        <is>
          <t>W4 upstands ~24 m incomplete</t>
        </is>
      </c>
    </row>
    <row r="16" ht="30" customHeight="1">
      <c r="A16" s="26" t="inlineStr">
        <is>
          <t>R-09 (TMP compound)</t>
        </is>
      </c>
      <c r="B16" s="26" t="inlineStr">
        <is>
          <t>Live</t>
        </is>
      </c>
      <c r="C16" s="26" t="inlineStr">
        <is>
          <t>Live</t>
        </is>
      </c>
      <c r="D16" s="26" t="inlineStr">
        <is>
          <t>Closed 14.09</t>
        </is>
      </c>
      <c r="E16" s="26" t="inlineStr">
        <is>
          <t>Closed</t>
        </is>
      </c>
    </row>
    <row r="17" ht="30" customHeight="1">
      <c r="A17" s="25" t="inlineStr">
        <is>
          <t>Ilmatek ILM-NOT-003 served</t>
        </is>
      </c>
      <c r="B17" s="25" t="n"/>
      <c r="C17" s="25" t="n"/>
      <c r="D17" s="25" t="inlineStr">
        <is>
          <t>Served 24.09</t>
        </is>
      </c>
      <c r="E17" s="25" t="inlineStr">
        <is>
          <t>Reasoned deny (derived 67 wd float)</t>
        </is>
      </c>
    </row>
    <row r="18" ht="30" customHeight="1">
      <c r="A18" s="23" t="inlineStr">
        <is>
          <t>Kallio PDC-SCH-001 Rev1</t>
        </is>
      </c>
      <c r="B18" s="23" t="n"/>
      <c r="C18" s="23" t="n"/>
      <c r="D18" s="23" t="inlineStr">
        <is>
          <t>Received 22.09</t>
        </is>
      </c>
      <c r="E18" s="23" t="inlineStr">
        <is>
          <t>Do not accept — see change log</t>
        </is>
      </c>
    </row>
    <row r="19" ht="30" customHeight="1">
      <c r="A19" s="25" t="inlineStr">
        <is>
          <t>110 kV revised date</t>
        </is>
      </c>
      <c r="B19" s="25" t="n"/>
      <c r="C19" s="25" t="inlineStr">
        <is>
          <t>Notified 28.08</t>
        </is>
      </c>
      <c r="D19" s="25" t="inlineStr">
        <is>
          <t>Not modelled</t>
        </is>
      </c>
      <c r="E19" s="25" t="inlineStr">
        <is>
          <t>Hold-harmless draft ready (RevC SP-15 28-day notice + SP-7 apportionment)</t>
        </is>
      </c>
    </row>
    <row r="20" ht="30" customHeight="1">
      <c r="A20" s="25" t="inlineStr">
        <is>
          <t>EI-005 main gate security</t>
        </is>
      </c>
      <c r="B20" s="25" t="n"/>
      <c r="C20" s="25" t="n"/>
      <c r="D20" s="25" t="inlineStr">
        <is>
          <t>Issued 22.09</t>
        </is>
      </c>
      <c r="E20" s="25" t="inlineStr">
        <is>
          <t>Live — A07-06 by 20.10</t>
        </is>
      </c>
    </row>
    <row r="21" ht="30" customHeight="1">
      <c r="A21" s="24" t="inlineStr">
        <is>
          <t>C-1140 (NW zone) submission</t>
        </is>
      </c>
      <c r="B21" s="24" t="n"/>
      <c r="C21" s="24" t="n"/>
      <c r="D21" s="24" t="inlineStr">
        <is>
          <t>EUR 214,600 (CORRECTED)</t>
        </is>
      </c>
      <c r="E21" s="24" t="inlineStr">
        <is>
          <t>A07-02 due 14.10</t>
        </is>
      </c>
    </row>
  </sheetData>
  <mergeCells count="1">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2" customWidth="1" min="1" max="1"/>
    <col width="50" customWidth="1" min="2" max="2"/>
    <col width="18" customWidth="1" min="3" max="3"/>
    <col width="16" customWidth="1" min="4" max="4"/>
    <col width="18" customWidth="1" min="5" max="5"/>
    <col width="50" customWidth="1" min="6" max="6"/>
  </cols>
  <sheetData>
    <row r="1">
      <c r="A1" s="1" t="inlineStr">
        <is>
          <t>Cost Variance Drivers — Cumulative AC to 30.09.2026 (per PDC-CVR-P07)</t>
        </is>
      </c>
    </row>
    <row r="2">
      <c r="A2" s="18" t="inlineStr">
        <is>
          <t>Cost code</t>
        </is>
      </c>
      <c r="B2" s="18" t="inlineStr">
        <is>
          <t>Description</t>
        </is>
      </c>
      <c r="C2" s="18" t="inlineStr">
        <is>
          <t>Cum AC 31.08 EUR</t>
        </is>
      </c>
      <c r="D2" s="18" t="inlineStr">
        <is>
          <t>In period EUR</t>
        </is>
      </c>
      <c r="E2" s="18" t="inlineStr">
        <is>
          <t>Cum AC 30.09 EUR</t>
        </is>
      </c>
      <c r="F2" s="18" t="inlineStr">
        <is>
          <t>Comment</t>
        </is>
      </c>
    </row>
    <row r="3" ht="45" customHeight="1">
      <c r="A3" s="24" t="inlineStr">
        <is>
          <t>C-1000</t>
        </is>
      </c>
      <c r="B3" s="24" t="inlineStr">
        <is>
          <t>Preliminaries and site establishment</t>
        </is>
      </c>
      <c r="C3" s="29" t="n">
        <v>848500</v>
      </c>
      <c r="D3" s="29" t="n">
        <v>112400</v>
      </c>
      <c r="E3" s="29" t="n">
        <v>960900</v>
      </c>
      <c r="F3" s="24" t="inlineStr">
        <is>
          <t>On profile per preliminaries schedule</t>
        </is>
      </c>
    </row>
    <row r="4" ht="45" customHeight="1">
      <c r="A4" s="23" t="inlineStr">
        <is>
          <t>C-1100</t>
        </is>
      </c>
      <c r="B4" s="23" t="inlineStr">
        <is>
          <t>TP-001 Earthworks, blasting and piling</t>
        </is>
      </c>
      <c r="C4" s="31" t="n">
        <v>2091000</v>
      </c>
      <c r="D4" s="31" t="n">
        <v>688300</v>
      </c>
      <c r="E4" s="31" t="n">
        <v>2779300</v>
      </c>
      <c r="F4" s="23" t="inlineStr">
        <is>
          <t>Kallio — main cost driver; +33% over P06 cumulative</t>
        </is>
      </c>
    </row>
    <row r="5" ht="45" customHeight="1">
      <c r="A5" s="25" t="inlineStr">
        <is>
          <t>C-1140</t>
        </is>
      </c>
      <c r="B5" s="25" t="inlineStr">
        <is>
          <t>TP-001 NW zone — instructed works (EI-004) — 5 CVR lines per PDC-CVR-P07</t>
        </is>
      </c>
      <c r="C5" s="32" t="n">
        <v>138400</v>
      </c>
      <c r="D5" s="32" t="n">
        <v>14400</v>
      </c>
      <c r="E5" s="32" t="n">
        <v>152800</v>
      </c>
      <c r="F5" s="25" t="inlineStr">
        <is>
          <t>Reconcile with Kallio EUR 214,600 (A07-02). Five lines: excavation 61,400 / disposal 44,900 / reaming 21,200 / supervision 10,900 / reinstatement 14,400. No 'planters' or PMC-2500 in source.</t>
        </is>
      </c>
    </row>
    <row r="6" ht="45" customHeight="1">
      <c r="A6" s="23" t="inlineStr">
        <is>
          <t>C-1200</t>
        </is>
      </c>
      <c r="B6" s="23" t="inlineStr">
        <is>
          <t>TP-001 Substructure — caps, beams, waterproofing</t>
        </is>
      </c>
      <c r="C6" s="31" t="n">
        <v>603500</v>
      </c>
      <c r="D6" s="31" t="n">
        <v>412700</v>
      </c>
      <c r="E6" s="31" t="n">
        <v>1016200</v>
      </c>
      <c r="F6" s="23" t="inlineStr">
        <is>
          <t>Kallio — pouring window open; cost growing fast</t>
        </is>
      </c>
    </row>
    <row r="7" ht="45" customHeight="1">
      <c r="A7" s="24" t="inlineStr">
        <is>
          <t>C-1300</t>
        </is>
      </c>
      <c r="B7" s="24" t="inlineStr">
        <is>
          <t>TP-005 Mechanical — cooling spine</t>
        </is>
      </c>
      <c r="C7" s="29" t="n">
        <v>508700</v>
      </c>
      <c r="D7" s="29" t="n">
        <v>486200</v>
      </c>
      <c r="E7" s="29" t="n">
        <v>994900</v>
      </c>
      <c r="F7" s="24" t="inlineStr">
        <is>
          <t>Ilmatek — labour driven, on programme</t>
        </is>
      </c>
    </row>
    <row r="8" ht="45" customHeight="1">
      <c r="A8" s="24" t="inlineStr">
        <is>
          <t>C-1400</t>
        </is>
      </c>
      <c r="B8" s="24" t="inlineStr">
        <is>
          <t>TP-006 Electrical — HV enabling</t>
        </is>
      </c>
      <c r="C8" s="29" t="n">
        <v>275500</v>
      </c>
      <c r="D8" s="29" t="n">
        <v>98600</v>
      </c>
      <c r="E8" s="29" t="n">
        <v>374100</v>
      </c>
      <c r="F8" s="24" t="inlineStr">
        <is>
          <t>Voima — on programme</t>
        </is>
      </c>
    </row>
    <row r="9" ht="45" customHeight="1">
      <c r="A9" s="24" t="inlineStr">
        <is>
          <t>C-1500</t>
        </is>
      </c>
      <c r="B9" s="24" t="inlineStr">
        <is>
          <t>TP-008 External works and security</t>
        </is>
      </c>
      <c r="C9" s="29" t="n">
        <v>695200</v>
      </c>
      <c r="D9" s="29" t="n">
        <v>341800</v>
      </c>
      <c r="E9" s="29" t="n">
        <v>1037000</v>
      </c>
      <c r="F9" s="24" t="inlineStr">
        <is>
          <t>Lehtinen — perimeter fence 100% (Act 202 / 14.09)</t>
        </is>
      </c>
    </row>
    <row r="10" ht="45" customHeight="1">
      <c r="A10" s="24" t="inlineStr">
        <is>
          <t>C-1900</t>
        </is>
      </c>
      <c r="B10" s="24" t="inlineStr">
        <is>
          <t>Design, statutory and professional fees</t>
        </is>
      </c>
      <c r="C10" s="29" t="n">
        <v>398500</v>
      </c>
      <c r="D10" s="29" t="n">
        <v>44100</v>
      </c>
      <c r="E10" s="29" t="n">
        <v>442600</v>
      </c>
      <c r="F10" s="24" t="inlineStr">
        <is>
          <t>On profile</t>
        </is>
      </c>
    </row>
    <row r="11" ht="45" customHeight="1">
      <c r="A11" s="33" t="inlineStr"/>
      <c r="B11" s="33" t="inlineStr">
        <is>
          <t>TOTAL CUMULATIVE ACTUAL COST</t>
        </is>
      </c>
      <c r="C11" s="34" t="n">
        <v>5559300</v>
      </c>
      <c r="D11" s="34" t="n">
        <v>2198500</v>
      </c>
      <c r="E11" s="34" t="n">
        <v>7757800</v>
      </c>
      <c r="F11" s="33" t="inlineStr">
        <is>
          <t>PV 5,418,050 / EV 5,406,850 (activity subset) / AC 7,757,800</t>
        </is>
      </c>
    </row>
  </sheetData>
  <mergeCells count="1">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16" customWidth="1" min="1" max="1"/>
    <col width="22" customWidth="1" min="2" max="2"/>
    <col width="22" customWidth="1" min="3" max="3"/>
    <col width="30" customWidth="1" min="4" max="4"/>
    <col width="24" customWidth="1" min="5" max="5"/>
    <col width="28" customWidth="1" min="6" max="6"/>
    <col width="60" customWidth="1" min="7" max="7"/>
  </cols>
  <sheetData>
    <row r="1">
      <c r="A1" s="1" t="inlineStr">
        <is>
          <t>Waterproofing Certificate Register — Kallio KMO-QC-0207 / KMO-QC-0219</t>
        </is>
      </c>
    </row>
    <row r="2" ht="50" customHeight="1">
      <c r="A2" s="35" t="inlineStr">
        <is>
          <t>Kallio's only WITNESSED waterproofing certificate is KMO-QC-0207 (W1 + W2, 20.08.2026). KMO-QC-0219 (W3 + W4, claimed 20.09.2026) was UNWITNESSED — Kallio's site QC only ('main contractor representative unavailable'). QS walks of 28–30.09.2026 found W4 upstands ~24 m incomplete. The certificate is not worth the paper.</t>
        </is>
      </c>
    </row>
    <row r="3">
      <c r="A3" s="18" t="inlineStr">
        <is>
          <t>Cert ref</t>
        </is>
      </c>
      <c r="B3" s="18" t="inlineStr">
        <is>
          <t>Date claimed</t>
        </is>
      </c>
      <c r="C3" s="18" t="inlineStr">
        <is>
          <t>Date signed</t>
        </is>
      </c>
      <c r="D3" s="18" t="inlineStr">
        <is>
          <t>Scope</t>
        </is>
      </c>
      <c r="E3" s="18" t="inlineStr">
        <is>
          <t>Signed by (Kallio)</t>
        </is>
      </c>
      <c r="F3" s="18" t="inlineStr">
        <is>
          <t>Witnessed by Contractor?</t>
        </is>
      </c>
      <c r="G3" s="18" t="inlineStr">
        <is>
          <t>Status / consequence</t>
        </is>
      </c>
    </row>
    <row r="4" ht="90" customHeight="1">
      <c r="A4" s="25" t="inlineStr">
        <is>
          <t>KMO-QC-0207</t>
        </is>
      </c>
      <c r="B4" s="25" t="inlineStr">
        <is>
          <t>completion 18.08.2026 (per Kallio P06)</t>
        </is>
      </c>
      <c r="C4" s="25" t="inlineStr">
        <is>
          <t>20.08.2026</t>
        </is>
      </c>
      <c r="D4" s="25" t="inlineStr">
        <is>
          <t>DH2 W1 + W2 waterproofing</t>
        </is>
      </c>
      <c r="E4" s="25" t="inlineStr">
        <is>
          <t>Kallio site QC (name not stated)</t>
        </is>
      </c>
      <c r="F4" s="25" t="inlineStr">
        <is>
          <t>YES (implied — agreement at QS 55% in P06)</t>
        </is>
      </c>
      <c r="G4" s="25" t="inlineStr">
        <is>
          <t>Acceptable at the time. W1+W2 wellformed. No open issue.</t>
        </is>
      </c>
    </row>
    <row r="5" ht="90" customHeight="1">
      <c r="A5" s="23" t="inlineStr">
        <is>
          <t>KMO-QC-0219</t>
        </is>
      </c>
      <c r="B5" s="23" t="inlineStr">
        <is>
          <t>completion 18.09.2026 (per Kallio P07 row 59)</t>
        </is>
      </c>
      <c r="C5" s="23" t="inlineStr">
        <is>
          <t>20.09.2026 (two days after claimed completion)</t>
        </is>
      </c>
      <c r="D5" s="23" t="inlineStr">
        <is>
          <t>DH2 W3 + W4 waterproofing</t>
        </is>
      </c>
      <c r="E5" s="23" t="inlineStr">
        <is>
          <t>Kallio site QC (name not stated)</t>
        </is>
      </c>
      <c r="F5" s="23" t="inlineStr">
        <is>
          <t>NO — Kallio's own record says 'main contractor representative unavailable'</t>
        </is>
      </c>
      <c r="G5" s="23" t="inlineStr">
        <is>
          <t>UNWITNESSED — NOT WORTH THE PAPER. QS walks 28–30.09.2026 found W4 upstands ~24 m incomplete at north edge. Slab poured 21.09.2026 over the non-conforming work. NCR PDC-NCR-001 drafted this period. P07 pays DH2 waterproofing at 90% per QS, not 100% per Kallio.</t>
        </is>
      </c>
    </row>
    <row r="6" ht="90" customHeight="1">
      <c r="A6" s="24" t="inlineStr">
        <is>
          <t>KMO-QC-0220 (planned)</t>
        </is>
      </c>
      <c r="B6" s="24" t="inlineStr">
        <is>
          <t>—</t>
        </is>
      </c>
      <c r="C6" s="24" t="inlineStr">
        <is>
          <t>—</t>
        </is>
      </c>
      <c r="D6" s="24" t="inlineStr">
        <is>
          <t>W4 upstands completed inspection</t>
        </is>
      </c>
      <c r="E6" s="24" t="inlineStr">
        <is>
          <t>PK to raise</t>
        </is>
      </c>
      <c r="F6" s="24" t="inlineStr">
        <is>
          <t>—</t>
        </is>
      </c>
      <c r="G6" s="24" t="inlineStr">
        <is>
          <t>A07-01 — required before pours 2-4. Kallio to complete W4 upstands (target 07.10.2026) and re-present.</t>
        </is>
      </c>
    </row>
  </sheetData>
  <mergeCells count="2">
    <mergeCell ref="A2:G2"/>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8" customWidth="1" min="6" max="6"/>
    <col width="8" customWidth="1" min="7" max="7"/>
    <col width="50" customWidth="1" min="8" max="8"/>
    <col width="50" customWidth="1" min="9" max="9"/>
  </cols>
  <sheetData>
    <row r="1">
      <c r="A1" s="1" t="inlineStr">
        <is>
          <t>Time Series — P05 / P06 / P07 reported figures (full BAC EUR 92.4M basis)</t>
        </is>
      </c>
    </row>
    <row r="2" ht="70" customHeight="1">
      <c r="A2" s="35" t="inlineStr">
        <is>
          <t>Source attribution: P05 figures from Polaris_DC1_P05_Progress_and_EVM.xlsx (EVM Summary sheet, 31.07.2026). P06 figures from Polaris_DC1_P06_Progress_and_EVM.xlsx (EVM_Disclosure sheet, 31.08.2026). P06 EV/SPI/CPI/EAC/VAC flagged INDICATIVE in source. P07 figures from this period's workbook (EVM Summary, basis B — full BAC EUR 92.4M, derived). Empty cells = not reported. **No back-fill.**</t>
        </is>
      </c>
    </row>
    <row r="3" ht="40" customHeight="1">
      <c r="A3" s="4" t="inlineStr">
        <is>
          <t>Metric (full BAC EUR 92.4M)</t>
        </is>
      </c>
      <c r="B3" s="4" t="inlineStr">
        <is>
          <t>Mar 2026 (start)</t>
        </is>
      </c>
      <c r="C3" s="4" t="inlineStr">
        <is>
          <t>P05 (31.07.2026)</t>
        </is>
      </c>
      <c r="D3" s="4" t="inlineStr">
        <is>
          <t>P06 (31.08.2026)</t>
        </is>
      </c>
      <c r="E3" s="4" t="inlineStr">
        <is>
          <t>P07 (30.09.2026)</t>
        </is>
      </c>
      <c r="F3" s="4" t="inlineStr">
        <is>
          <t>Project end (02.05.2027)</t>
        </is>
      </c>
      <c r="G3" s="4" t="inlineStr">
        <is>
          <t>Unit</t>
        </is>
      </c>
      <c r="H3" s="4" t="inlineStr">
        <is>
          <t>Source P05</t>
        </is>
      </c>
      <c r="I3" s="4" t="inlineStr">
        <is>
          <t>Source P06</t>
        </is>
      </c>
    </row>
    <row r="4">
      <c r="A4" s="24" t="inlineStr">
        <is>
          <t>BAC</t>
        </is>
      </c>
      <c r="B4" s="29" t="n">
        <v>92400000</v>
      </c>
      <c r="C4" s="29" t="n">
        <v>92400000</v>
      </c>
      <c r="D4" s="29" t="n">
        <v>92400000</v>
      </c>
      <c r="E4" s="29" t="n">
        <v>92400000</v>
      </c>
      <c r="F4" s="29" t="n">
        <v>92400000</v>
      </c>
      <c r="G4" s="24" t="inlineStr">
        <is>
          <t>EUR</t>
        </is>
      </c>
      <c r="H4" s="24" t="inlineStr">
        <is>
          <t>P05 EVM Summary</t>
        </is>
      </c>
      <c r="I4" s="24" t="inlineStr">
        <is>
          <t>P06 EVM_Disclosure</t>
        </is>
      </c>
    </row>
    <row r="5">
      <c r="A5" s="24" t="inlineStr">
        <is>
          <t>PV (Planned Value, cumulative)</t>
        </is>
      </c>
      <c r="B5" s="29" t="n"/>
      <c r="C5" s="29" t="n">
        <v>3302068</v>
      </c>
      <c r="D5" s="29" t="n">
        <v>5082000</v>
      </c>
      <c r="E5" s="29" t="n">
        <v>6861932</v>
      </c>
      <c r="F5" s="29" t="n">
        <v>92400000</v>
      </c>
      <c r="G5" s="24" t="inlineStr">
        <is>
          <t>EUR</t>
        </is>
      </c>
      <c r="H5" s="24" t="inlineStr">
        <is>
          <t>P05 EVM Summary — derived Section A + B/F/I planned %</t>
        </is>
      </c>
      <c r="I5" s="24" t="inlineStr">
        <is>
          <t>P06 EVM_Disclosure — baseline profile at 31.08</t>
        </is>
      </c>
    </row>
    <row r="6">
      <c r="A6" s="24" t="inlineStr">
        <is>
          <t>EV (Earned Value, cumulative)</t>
        </is>
      </c>
      <c r="B6" s="29" t="n"/>
      <c r="C6" s="29" t="n">
        <v>3236387</v>
      </c>
      <c r="D6" s="29" t="n">
        <v>5247000</v>
      </c>
      <c r="E6" s="29" t="n">
        <v>7000000</v>
      </c>
      <c r="F6" s="29" t="n"/>
      <c r="G6" s="24" t="inlineStr">
        <is>
          <t>EUR</t>
        </is>
      </c>
      <c r="H6" s="24" t="inlineStr">
        <is>
          <t>P05 EVM Summary — derived Section A + B/F/I governed %</t>
        </is>
      </c>
      <c r="I6" s="24" t="inlineStr">
        <is>
          <t>P06 EVM_Disclosure — INDICATIVE 5,247,000 (derived, not contractual EV extract)</t>
        </is>
      </c>
    </row>
    <row r="7">
      <c r="A7" s="24" t="inlineStr">
        <is>
          <t>AC (Actual Cost, cumulative)</t>
        </is>
      </c>
      <c r="B7" s="29" t="n"/>
      <c r="C7" s="29" t="n">
        <v>3765800</v>
      </c>
      <c r="D7" s="29" t="n">
        <v>5559300</v>
      </c>
      <c r="E7" s="29" t="n">
        <v>7757800</v>
      </c>
      <c r="F7" s="29" t="n"/>
      <c r="G7" s="24" t="inlineStr">
        <is>
          <t>EUR</t>
        </is>
      </c>
      <c r="H7" s="24" t="inlineStr">
        <is>
          <t>P05 EVM Summary — Section A prelims + Kallio + Lehtinen</t>
        </is>
      </c>
      <c r="I7" s="24" t="inlineStr">
        <is>
          <t>P06 EVM_Disclosure — PDC-CVR-P06 cost ledger</t>
        </is>
      </c>
    </row>
    <row r="8">
      <c r="A8" s="24" t="inlineStr">
        <is>
          <t>SV (Schedule Variance)</t>
        </is>
      </c>
      <c r="B8" s="29" t="n"/>
      <c r="C8" s="29" t="n">
        <v>-65681</v>
      </c>
      <c r="D8" s="29" t="n"/>
      <c r="E8" s="29" t="n"/>
      <c r="F8" s="29" t="n"/>
      <c r="G8" s="24" t="inlineStr">
        <is>
          <t>EUR</t>
        </is>
      </c>
      <c r="H8" s="24" t="inlineStr">
        <is>
          <t>P05 EVM Summary — reported</t>
        </is>
      </c>
      <c r="I8" s="24" t="inlineStr">
        <is>
          <t>P06 not reported</t>
        </is>
      </c>
    </row>
    <row r="9">
      <c r="A9" s="24" t="inlineStr">
        <is>
          <t>CV (Cost Variance)</t>
        </is>
      </c>
      <c r="B9" s="29" t="n"/>
      <c r="C9" s="29" t="n">
        <v>-529413</v>
      </c>
      <c r="D9" s="29" t="n"/>
      <c r="E9" s="29" t="n"/>
      <c r="F9" s="29" t="n"/>
      <c r="G9" s="24" t="inlineStr">
        <is>
          <t>EUR</t>
        </is>
      </c>
      <c r="H9" s="24" t="inlineStr">
        <is>
          <t>P05 EVM Summary — reported</t>
        </is>
      </c>
      <c r="I9" s="24" t="inlineStr">
        <is>
          <t>P06 not reported</t>
        </is>
      </c>
    </row>
    <row r="10">
      <c r="A10" s="24" t="inlineStr">
        <is>
          <t>SPI</t>
        </is>
      </c>
      <c r="B10" s="44" t="n"/>
      <c r="C10" s="44" t="n">
        <v>0.98</v>
      </c>
      <c r="D10" s="44" t="n">
        <v>1.03</v>
      </c>
      <c r="E10" s="44" t="n">
        <v>1.02</v>
      </c>
      <c r="F10" s="44" t="n"/>
      <c r="G10" s="24" t="inlineStr">
        <is>
          <t>ratio</t>
        </is>
      </c>
      <c r="H10" s="24" t="inlineStr">
        <is>
          <t>P05 EVM Summary — reported 0.98</t>
        </is>
      </c>
      <c r="I10" s="24" t="inlineStr">
        <is>
          <t>P06 EVM_Disclosure — INDICATIVE 1.03</t>
        </is>
      </c>
    </row>
    <row r="11">
      <c r="A11" s="24" t="inlineStr">
        <is>
          <t>CPI</t>
        </is>
      </c>
      <c r="B11" s="44" t="n"/>
      <c r="C11" s="44" t="n">
        <v>0.859</v>
      </c>
      <c r="D11" s="44" t="n">
        <v>0.9399999999999999</v>
      </c>
      <c r="E11" s="44" t="n">
        <v>0.902</v>
      </c>
      <c r="F11" s="44" t="n"/>
      <c r="G11" s="24" t="inlineStr">
        <is>
          <t>ratio</t>
        </is>
      </c>
      <c r="H11" s="24" t="inlineStr">
        <is>
          <t>P05 EVM Summary — reported 0.859 (narrative says '0.86')</t>
        </is>
      </c>
      <c r="I11" s="24" t="inlineStr">
        <is>
          <t>P06 EVM_Disclosure — INDICATIVE 0.94</t>
        </is>
      </c>
    </row>
    <row r="12">
      <c r="A12" s="24" t="inlineStr">
        <is>
          <t>EAC (formal = AC + (BAC-EV)/CPI)</t>
        </is>
      </c>
      <c r="B12" s="29" t="n"/>
      <c r="C12" s="29" t="n">
        <v>107514938</v>
      </c>
      <c r="D12" s="29" t="n">
        <v>97900000</v>
      </c>
      <c r="E12" s="29" t="n">
        <v>102402960</v>
      </c>
      <c r="F12" s="29" t="n"/>
      <c r="G12" s="24" t="inlineStr">
        <is>
          <t>EUR</t>
        </is>
      </c>
      <c r="H12" s="24" t="inlineStr">
        <is>
          <t>P05 EVM Summary — straight-line CPI projection</t>
        </is>
      </c>
      <c r="I12" s="24" t="inlineStr">
        <is>
          <t>P06 EVM_Disclosure — INDICATIVE 97.9M = 92.4/0.944</t>
        </is>
      </c>
    </row>
    <row r="13">
      <c r="A13" s="24" t="inlineStr">
        <is>
          <t>VAC (BAC − formal EAC)</t>
        </is>
      </c>
      <c r="B13" s="29" t="n"/>
      <c r="C13" s="29" t="n">
        <v>-15114938</v>
      </c>
      <c r="D13" s="29" t="n">
        <v>-5500000</v>
      </c>
      <c r="E13" s="29" t="n">
        <v>-10002960</v>
      </c>
      <c r="F13" s="29" t="n"/>
      <c r="G13" s="24" t="inlineStr">
        <is>
          <t>EUR</t>
        </is>
      </c>
      <c r="H13" s="24" t="inlineStr">
        <is>
          <t>P05 EVM Summary — reported</t>
        </is>
      </c>
      <c r="I13" s="24" t="inlineStr">
        <is>
          <t>P06 EVM_Disclosure — INDICATIVE</t>
        </is>
      </c>
    </row>
    <row r="14">
      <c r="A14" s="24" t="inlineStr">
        <is>
          <t>PM manual EAC</t>
        </is>
      </c>
      <c r="B14" s="29" t="n"/>
      <c r="C14" s="29" t="n">
        <v>92400000</v>
      </c>
      <c r="D14" s="29" t="n"/>
      <c r="E14" s="29" t="n"/>
      <c r="F14" s="29" t="n"/>
      <c r="G14" s="24" t="inlineStr">
        <is>
          <t>EUR</t>
        </is>
      </c>
      <c r="H14" s="24" t="inlineStr">
        <is>
          <t>P05 EVM Summary — PM held at BAC, no uplift warranted</t>
        </is>
      </c>
      <c r="I14" s="24" t="inlineStr">
        <is>
          <t>P06 not reported</t>
        </is>
      </c>
    </row>
    <row r="15">
      <c r="A15" s="24" t="inlineStr">
        <is>
          <t>TCPI to BAC</t>
        </is>
      </c>
      <c r="B15" s="44" t="n"/>
      <c r="C15" s="44" t="n">
        <v>0.989</v>
      </c>
      <c r="D15" s="44" t="n"/>
      <c r="E15" s="44" t="n">
        <v>1.011</v>
      </c>
      <c r="F15" s="44" t="n"/>
      <c r="G15" s="24" t="inlineStr">
        <is>
          <t>ratio</t>
        </is>
      </c>
      <c r="H15" s="24" t="inlineStr">
        <is>
          <t>P05 EVM Summary — 0.989, feasible</t>
        </is>
      </c>
      <c r="I15" s="24" t="inlineStr">
        <is>
          <t>P06 not reported</t>
        </is>
      </c>
    </row>
    <row r="16">
      <c r="A16" s="24" t="inlineStr">
        <is>
          <t>ETC (Estimate to Complete)</t>
        </is>
      </c>
      <c r="B16" s="29" t="n"/>
      <c r="C16" s="29" t="n"/>
      <c r="D16" s="29" t="n"/>
      <c r="E16" s="29" t="n"/>
      <c r="F16" s="29" t="n"/>
      <c r="G16" s="24" t="inlineStr">
        <is>
          <t>EUR</t>
        </is>
      </c>
      <c r="H16" s="24" t="inlineStr">
        <is>
          <t>P05 not reported</t>
        </is>
      </c>
      <c r="I16" s="24" t="inlineStr">
        <is>
          <t>P06 not reported</t>
        </is>
      </c>
    </row>
    <row r="17">
      <c r="A17" s="24" t="inlineStr">
        <is>
          <t>Critical-path float (wd)</t>
        </is>
      </c>
      <c r="B17" s="36" t="n"/>
      <c r="C17" s="36" t="n">
        <v>2</v>
      </c>
      <c r="D17" s="36" t="n">
        <v>1</v>
      </c>
      <c r="E17" s="36" t="n">
        <v>0</v>
      </c>
      <c r="F17" s="36" t="n"/>
      <c r="G17" s="24" t="inlineStr">
        <is>
          <t>wd</t>
        </is>
      </c>
      <c r="H17" s="24" t="inlineStr">
        <is>
          <t>P05 progress report §3</t>
        </is>
      </c>
      <c r="I17" s="24" t="inlineStr">
        <is>
          <t>P06 progress report §3</t>
        </is>
      </c>
    </row>
    <row r="18" ht="80" customHeight="1">
      <c r="A18" s="2" t="inlineStr">
        <is>
          <t>Notes on empty cells</t>
        </is>
      </c>
      <c r="B18" s="37" t="inlineStr">
        <is>
          <t>P06 SV/CV not reported. P06 PM manual EAC not reported. P06 TCPI/ETC not reported. P05 ETC not reported. **All cells above marked empty correspond to metrics that were not reported in that month's workbook — they are gaps, not data losses.** Earlier months (Mar–Jun 2026) have no reported PV/EV/AC data; the P06 S-curve sheet contains 'ESTIMATED earlier-period ramp' figures which are NOT reported actuals and have been excluded here per the no-back-fill rule.</t>
        </is>
      </c>
    </row>
  </sheetData>
  <mergeCells count="3">
    <mergeCell ref="A1:I1"/>
    <mergeCell ref="A2:I2"/>
    <mergeCell ref="B18:I1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46"/>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c r="A1" s="1" t="inlineStr">
        <is>
          <t>Charts — Time-series visualisations</t>
        </is>
      </c>
    </row>
    <row r="2">
      <c r="A2" s="17" t="inlineStr">
        <is>
          <t>All charts read from the Time Series sheet. Empty cells render as gaps in the chart series (no back-fill). The BAC baseline projection runs continuously from project commencement (01.03.2026) to Section 1 completion (02.05.2027).</t>
        </is>
      </c>
    </row>
    <row r="4">
      <c r="A4" s="38" t="inlineStr">
        <is>
          <t>Chart data — S-curve (cumulative EUR, full BAC EUR 92.4M)</t>
        </is>
      </c>
    </row>
    <row r="5">
      <c r="A5" s="39" t="inlineStr">
        <is>
          <t>Period end</t>
        </is>
      </c>
      <c r="B5" s="39" t="inlineStr">
        <is>
          <t>PV</t>
        </is>
      </c>
      <c r="C5" s="39" t="inlineStr">
        <is>
          <t>EV</t>
        </is>
      </c>
      <c r="D5" s="39" t="inlineStr">
        <is>
          <t>AC</t>
        </is>
      </c>
      <c r="E5" s="39" t="inlineStr">
        <is>
          <t>BAC baseline projection</t>
        </is>
      </c>
    </row>
    <row r="6">
      <c r="A6" s="5" t="inlineStr">
        <is>
          <t>Mar 2026</t>
        </is>
      </c>
      <c r="B6" s="8" t="n"/>
      <c r="C6" s="8" t="n"/>
      <c r="D6" s="8" t="n"/>
      <c r="E6" s="8" t="n">
        <v>0</v>
      </c>
    </row>
    <row r="7">
      <c r="A7" s="5" t="inlineStr">
        <is>
          <t>Apr 2026</t>
        </is>
      </c>
      <c r="B7" s="8" t="n"/>
      <c r="C7" s="8" t="n"/>
      <c r="D7" s="8" t="n"/>
      <c r="E7" s="8" t="n">
        <v>8400000</v>
      </c>
    </row>
    <row r="8">
      <c r="A8" s="5" t="inlineStr">
        <is>
          <t>May 2026</t>
        </is>
      </c>
      <c r="B8" s="8" t="n"/>
      <c r="C8" s="8" t="n"/>
      <c r="D8" s="8" t="n"/>
      <c r="E8" s="8" t="n">
        <v>12600000</v>
      </c>
    </row>
    <row r="9">
      <c r="A9" s="5" t="inlineStr">
        <is>
          <t>Jun 2026</t>
        </is>
      </c>
      <c r="B9" s="8" t="n"/>
      <c r="C9" s="8" t="n"/>
      <c r="D9" s="8" t="n"/>
      <c r="E9" s="8" t="n">
        <v>16800000</v>
      </c>
    </row>
    <row r="10">
      <c r="A10" s="5" t="inlineStr">
        <is>
          <t>Jul 2026 (P05)</t>
        </is>
      </c>
      <c r="B10" s="8" t="n">
        <v>3302068</v>
      </c>
      <c r="C10" s="8" t="n">
        <v>3236387</v>
      </c>
      <c r="D10" s="8" t="n">
        <v>3765800</v>
      </c>
      <c r="E10" s="8" t="n">
        <v>21000000</v>
      </c>
    </row>
    <row r="11">
      <c r="A11" s="5" t="inlineStr">
        <is>
          <t>Aug 2026 (P06)</t>
        </is>
      </c>
      <c r="B11" s="8" t="n">
        <v>5082000</v>
      </c>
      <c r="C11" s="8" t="n">
        <v>5247000</v>
      </c>
      <c r="D11" s="8" t="n">
        <v>5559300</v>
      </c>
      <c r="E11" s="8" t="n">
        <v>25200000</v>
      </c>
    </row>
    <row r="12">
      <c r="A12" s="5" t="inlineStr">
        <is>
          <t>Sep 2026 (P07)</t>
        </is>
      </c>
      <c r="B12" s="8" t="n">
        <v>6861932</v>
      </c>
      <c r="C12" s="8" t="n">
        <v>7000000</v>
      </c>
      <c r="D12" s="8" t="n">
        <v>7757800</v>
      </c>
      <c r="E12" s="8" t="n">
        <v>29400000</v>
      </c>
    </row>
    <row r="13">
      <c r="A13" s="5" t="inlineStr">
        <is>
          <t>Oct 2026</t>
        </is>
      </c>
      <c r="B13" s="8" t="n"/>
      <c r="C13" s="8" t="n"/>
      <c r="D13" s="8" t="n"/>
      <c r="E13" s="8" t="n">
        <v>33600000</v>
      </c>
    </row>
    <row r="14">
      <c r="A14" s="5" t="inlineStr">
        <is>
          <t>Nov 2026</t>
        </is>
      </c>
      <c r="B14" s="8" t="n"/>
      <c r="C14" s="8" t="n"/>
      <c r="D14" s="8" t="n"/>
      <c r="E14" s="8" t="n">
        <v>37800000</v>
      </c>
    </row>
    <row r="15">
      <c r="A15" s="5" t="inlineStr">
        <is>
          <t>Dec 2026</t>
        </is>
      </c>
      <c r="B15" s="8" t="n"/>
      <c r="C15" s="8" t="n"/>
      <c r="D15" s="8" t="n"/>
      <c r="E15" s="8" t="n">
        <v>42000000</v>
      </c>
    </row>
    <row r="16">
      <c r="A16" s="5" t="inlineStr">
        <is>
          <t>Jan 2027</t>
        </is>
      </c>
      <c r="B16" s="8" t="n"/>
      <c r="C16" s="8" t="n"/>
      <c r="D16" s="8" t="n"/>
      <c r="E16" s="8" t="n">
        <v>46200000</v>
      </c>
    </row>
    <row r="17">
      <c r="A17" s="5" t="inlineStr">
        <is>
          <t>Feb 2027</t>
        </is>
      </c>
      <c r="B17" s="8" t="n"/>
      <c r="C17" s="8" t="n"/>
      <c r="D17" s="8" t="n"/>
      <c r="E17" s="8" t="n">
        <v>50400000</v>
      </c>
    </row>
    <row r="18">
      <c r="A18" s="5" t="inlineStr">
        <is>
          <t>Mar 2027</t>
        </is>
      </c>
      <c r="B18" s="8" t="n"/>
      <c r="C18" s="8" t="n"/>
      <c r="D18" s="8" t="n"/>
      <c r="E18" s="8" t="n">
        <v>54600000</v>
      </c>
    </row>
    <row r="19">
      <c r="A19" s="5" t="inlineStr">
        <is>
          <t>Apr 2027</t>
        </is>
      </c>
      <c r="B19" s="8" t="n"/>
      <c r="C19" s="8" t="n"/>
      <c r="D19" s="8" t="n"/>
      <c r="E19" s="8" t="n">
        <v>58800000</v>
      </c>
    </row>
    <row r="20">
      <c r="A20" s="5" t="inlineStr">
        <is>
          <t>May 2027 (Sec 1)</t>
        </is>
      </c>
      <c r="B20" s="8" t="n"/>
      <c r="C20" s="8" t="n"/>
      <c r="D20" s="8" t="n"/>
      <c r="E20" s="8" t="n">
        <v>63000000</v>
      </c>
    </row>
    <row r="21">
      <c r="A21" s="5" t="inlineStr">
        <is>
          <t>Jun 2027</t>
        </is>
      </c>
      <c r="B21" s="8" t="n"/>
      <c r="C21" s="8" t="n"/>
      <c r="D21" s="8" t="n"/>
      <c r="E21" s="8" t="n">
        <v>67200000</v>
      </c>
    </row>
    <row r="22">
      <c r="A22" s="5" t="inlineStr">
        <is>
          <t>Jul 2027</t>
        </is>
      </c>
      <c r="B22" s="8" t="n"/>
      <c r="C22" s="8" t="n"/>
      <c r="D22" s="8" t="n"/>
      <c r="E22" s="8" t="n">
        <v>71400000</v>
      </c>
    </row>
    <row r="23">
      <c r="A23" s="5" t="inlineStr">
        <is>
          <t>Aug 2027</t>
        </is>
      </c>
      <c r="B23" s="8" t="n"/>
      <c r="C23" s="8" t="n"/>
      <c r="D23" s="8" t="n"/>
      <c r="E23" s="8" t="n">
        <v>75600000</v>
      </c>
    </row>
    <row r="24">
      <c r="A24" s="5" t="inlineStr">
        <is>
          <t>Sep 2027</t>
        </is>
      </c>
      <c r="B24" s="8" t="n"/>
      <c r="C24" s="8" t="n"/>
      <c r="D24" s="8" t="n"/>
      <c r="E24" s="8" t="n">
        <v>79800000</v>
      </c>
    </row>
    <row r="25">
      <c r="A25" s="5" t="inlineStr">
        <is>
          <t>Oct 2027</t>
        </is>
      </c>
      <c r="B25" s="8" t="n"/>
      <c r="C25" s="8" t="n"/>
      <c r="D25" s="8" t="n"/>
      <c r="E25" s="8" t="n">
        <v>84000000</v>
      </c>
    </row>
    <row r="26">
      <c r="A26" s="5" t="inlineStr">
        <is>
          <t>Nov 2027</t>
        </is>
      </c>
      <c r="B26" s="8" t="n"/>
      <c r="C26" s="8" t="n"/>
      <c r="D26" s="8" t="n"/>
      <c r="E26" s="8" t="n">
        <v>88200000</v>
      </c>
    </row>
    <row r="27">
      <c r="A27" s="5" t="inlineStr">
        <is>
          <t>Dec 2027 (close)</t>
        </is>
      </c>
      <c r="B27" s="8" t="n"/>
      <c r="C27" s="8" t="n"/>
      <c r="D27" s="8" t="n"/>
      <c r="E27" s="8" t="n">
        <v>92400000</v>
      </c>
    </row>
    <row r="29">
      <c r="A29" s="38" t="inlineStr">
        <is>
          <t>Chart data — SPI / CPI per period (reported)</t>
        </is>
      </c>
    </row>
    <row r="30">
      <c r="A30" s="39" t="inlineStr">
        <is>
          <t>Period end</t>
        </is>
      </c>
      <c r="B30" s="39" t="inlineStr">
        <is>
          <t>SPI</t>
        </is>
      </c>
      <c r="C30" s="39" t="inlineStr">
        <is>
          <t>CPI</t>
        </is>
      </c>
    </row>
    <row r="31">
      <c r="A31" s="5" t="inlineStr">
        <is>
          <t>P05 (31.07.2026)</t>
        </is>
      </c>
      <c r="B31" s="41" t="n">
        <v>0.98</v>
      </c>
      <c r="C31" s="41" t="n">
        <v>0.859</v>
      </c>
    </row>
    <row r="32">
      <c r="A32" s="5" t="inlineStr">
        <is>
          <t>P06 (31.08.2026) — INDICATIVE</t>
        </is>
      </c>
      <c r="B32" s="41" t="n">
        <v>1.03</v>
      </c>
      <c r="C32" s="41" t="n">
        <v>0.9399999999999999</v>
      </c>
    </row>
    <row r="33">
      <c r="A33" s="5" t="inlineStr">
        <is>
          <t>P07 (30.09.2026)</t>
        </is>
      </c>
      <c r="B33" s="41" t="n">
        <v>1.02</v>
      </c>
      <c r="C33" s="41" t="n">
        <v>0.902</v>
      </c>
    </row>
    <row r="35">
      <c r="A35" s="38" t="inlineStr">
        <is>
          <t>Chart data — SV / CV per period (P05 reported only — P06/P07 not reported)</t>
        </is>
      </c>
    </row>
    <row r="36">
      <c r="A36" s="39" t="inlineStr">
        <is>
          <t>Period end</t>
        </is>
      </c>
      <c r="B36" s="39" t="inlineStr">
        <is>
          <t>SV (EUR)</t>
        </is>
      </c>
      <c r="C36" s="39" t="inlineStr">
        <is>
          <t>CV (EUR)</t>
        </is>
      </c>
    </row>
    <row r="37">
      <c r="A37" s="5" t="inlineStr">
        <is>
          <t>P05 (31.07.2026)</t>
        </is>
      </c>
      <c r="B37" s="8" t="n">
        <v>-65681</v>
      </c>
      <c r="C37" s="8" t="n">
        <v>-529413</v>
      </c>
    </row>
    <row r="38">
      <c r="A38" s="5" t="inlineStr">
        <is>
          <t>P06 (31.08.2026)</t>
        </is>
      </c>
      <c r="B38" s="8" t="n"/>
      <c r="C38" s="8" t="n"/>
    </row>
    <row r="39">
      <c r="A39" s="5" t="inlineStr">
        <is>
          <t>P07 (30.09.2026)</t>
        </is>
      </c>
      <c r="B39" s="8" t="n"/>
      <c r="C39" s="8" t="n"/>
    </row>
    <row r="40" ht="50" customHeight="1">
      <c r="A40" s="37" t="inlineStr">
        <is>
          <t>Note: SV/CV reported only in P05 workbook. P06 and P07 workbooks did not report SV/CV. Per no-back-fill rule, cells are empty. The chart would show only the P05 point; no trend line possible until P08 reports SV/CV.</t>
        </is>
      </c>
    </row>
    <row r="42">
      <c r="A42" s="38" t="inlineStr">
        <is>
          <t>Chart data — BAC vs EAC vs VAC (full BAC EUR 92.4M basis)</t>
        </is>
      </c>
    </row>
    <row r="43">
      <c r="A43" s="39" t="inlineStr">
        <is>
          <t>Period end</t>
        </is>
      </c>
      <c r="B43" s="39" t="inlineStr">
        <is>
          <t>BAC (EUR)</t>
        </is>
      </c>
      <c r="C43" s="39" t="inlineStr">
        <is>
          <t>EAC (formal EUR)</t>
        </is>
      </c>
      <c r="D43" s="39" t="inlineStr">
        <is>
          <t>VAC (EUR)</t>
        </is>
      </c>
    </row>
    <row r="44">
      <c r="A44" s="5" t="inlineStr">
        <is>
          <t>P05 (31.07.2026)</t>
        </is>
      </c>
      <c r="B44" s="8" t="n">
        <v>92400000</v>
      </c>
      <c r="C44" s="8" t="n">
        <v>107514938</v>
      </c>
      <c r="D44" s="8" t="n">
        <v>-15114938</v>
      </c>
    </row>
    <row r="45">
      <c r="A45" s="5" t="inlineStr">
        <is>
          <t>P06 (31.08.2026) — INDICATIVE</t>
        </is>
      </c>
      <c r="B45" s="8" t="n">
        <v>92400000</v>
      </c>
      <c r="C45" s="8" t="n">
        <v>97900000</v>
      </c>
      <c r="D45" s="8" t="n">
        <v>-5500000</v>
      </c>
    </row>
    <row r="46">
      <c r="A46" s="5" t="inlineStr">
        <is>
          <t>P07 (30.09.2026)</t>
        </is>
      </c>
      <c r="B46" s="8" t="n">
        <v>92400000</v>
      </c>
      <c r="C46" s="8" t="n">
        <v>102402960</v>
      </c>
      <c r="D46" s="8" t="n">
        <v>-10002960</v>
      </c>
    </row>
  </sheetData>
  <mergeCells count="3">
    <mergeCell ref="A40:F40"/>
    <mergeCell ref="A2:N2"/>
    <mergeCell ref="A1:N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2026-08-10T23:12:46Z</dcterms:created>
  <dcterms:modified xmlns:dcterms="http://purl.org/dc/terms/" xmlns:xsi="http://www.w3.org/2001/XMLSchema-instance" xsi:type="dcterms:W3CDTF">2026-08-10T23:39:30Z</dcterms:modified>
</cp:coreProperties>
</file>