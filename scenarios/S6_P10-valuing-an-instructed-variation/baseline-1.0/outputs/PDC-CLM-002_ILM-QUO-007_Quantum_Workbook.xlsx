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Quotation lines" sheetId="1" state="visible" r:id="rId1"/>
    <sheet xmlns:r="http://schemas.openxmlformats.org/officeDocument/2006/relationships" name="2. V4 Build-up" sheetId="2" state="visible" r:id="rId2"/>
    <sheet xmlns:r="http://schemas.openxmlformats.org/officeDocument/2006/relationships" name="3. Valuation to Engineer" sheetId="3" state="visible" r:id="rId3"/>
    <sheet xmlns:r="http://schemas.openxmlformats.org/officeDocument/2006/relationships" name="4. Programme position" sheetId="4" state="visible" r:id="rId4"/>
    <sheet xmlns:r="http://schemas.openxmlformats.org/officeDocument/2006/relationships" name="5. Citations index"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F4E78"/>
      <sz val="14"/>
    </font>
    <font>
      <i val="1"/>
      <color rgb="FF666666"/>
    </font>
    <font>
      <b val="1"/>
      <color rgb="FFFFFFFF"/>
    </font>
    <font>
      <b val="1"/>
      <color rgb="FF1F4E78"/>
    </font>
    <font>
      <b val="1"/>
    </font>
    <font>
      <b val="1"/>
      <color rgb="FF8E2E2E"/>
    </font>
  </fonts>
  <fills count="3">
    <fill>
      <patternFill/>
    </fill>
    <fill>
      <patternFill patternType="gray125"/>
    </fill>
    <fill>
      <patternFill patternType="solid">
        <fgColor rgb="FF1F4E78"/>
        <bgColor rgb="FF1F4E78"/>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0" fillId="0" borderId="1" applyAlignment="1" pivotButton="0" quotePrefix="0" xfId="0">
      <alignment vertical="top" wrapText="1"/>
    </xf>
    <xf numFmtId="4" fontId="0" fillId="0" borderId="1" applyAlignment="1" pivotButton="0" quotePrefix="0" xfId="0">
      <alignment vertical="top" wrapText="1"/>
    </xf>
    <xf numFmtId="4" fontId="0" fillId="0" borderId="0" pivotButton="0" quotePrefix="0" xfId="0"/>
    <xf numFmtId="0" fontId="4" fillId="0" borderId="0" pivotButton="0" quotePrefix="0" xfId="0"/>
    <xf numFmtId="0" fontId="2" fillId="0" borderId="0" applyAlignment="1" pivotButton="0" quotePrefix="0" xfId="0">
      <alignment wrapText="1"/>
    </xf>
    <xf numFmtId="4" fontId="5" fillId="0" borderId="0" pivotButton="0" quotePrefix="0" xfId="0"/>
    <xf numFmtId="0" fontId="6" fillId="0" borderId="0" pivotButton="0" quotePrefix="0" xfId="0"/>
    <xf numFmtId="4" fontId="6" fillId="0" borderId="0" pivotButton="0" quotePrefix="0" xfId="0"/>
    <xf numFmtId="4" fontId="4" fillId="0" borderId="0" pivotButton="0" quotePrefix="0" xfId="0"/>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8" customWidth="1" min="1" max="1"/>
    <col width="42" customWidth="1" min="2" max="2"/>
    <col width="6" customWidth="1" min="3" max="3"/>
    <col width="8" customWidth="1" min="4" max="4"/>
    <col width="13" customWidth="1" min="5" max="5"/>
    <col width="55" customWidth="1" min="6" max="6"/>
    <col width="14" customWidth="1" min="7" max="7"/>
    <col width="55" customWidth="1" min="8" max="8"/>
    <col width="14" customWidth="1" min="9" max="9"/>
    <col width="13" customWidth="1" min="10" max="10"/>
    <col width="55" customWidth="1" min="11" max="11"/>
    <col width="55" customWidth="1" min="12" max="12"/>
    <col width="30" customWidth="1" min="13" max="13"/>
    <col width="75" customWidth="1" min="14" max="14"/>
    <col width="48" customWidth="1" min="15" max="15"/>
    <col width="18" customWidth="1" min="16" max="16"/>
    <col width="55" customWidth="1" min="17" max="17"/>
  </cols>
  <sheetData>
    <row r="1">
      <c r="A1" s="1" t="inlineStr">
        <is>
          <t>PDC-CLM-002 — Head-by-head assessment of ILM-QUO-007</t>
        </is>
      </c>
    </row>
    <row r="2">
      <c r="A2" s="2" t="inlineStr">
        <is>
          <t>Polaris DC-1, Aviapolis Data Campus, Vantaa — Period 10 — December 2026</t>
        </is>
      </c>
    </row>
    <row r="3">
      <c r="A3" t="inlineStr">
        <is>
          <t>Cell-level citations in dedicated columns. Every 'Total' is a formula, not a value.</t>
        </is>
      </c>
    </row>
    <row r="5" ht="32" customHeight="1">
      <c r="A5" s="3" t="inlineStr">
        <is>
          <t>Line</t>
        </is>
      </c>
      <c r="B5" s="3" t="inlineStr">
        <is>
          <t>Description</t>
        </is>
      </c>
      <c r="C5" s="3" t="inlineStr">
        <is>
          <t>Qty</t>
        </is>
      </c>
      <c r="D5" s="3" t="inlineStr">
        <is>
          <t>Unit</t>
        </is>
      </c>
      <c r="E5" s="3" t="inlineStr">
        <is>
          <t>Sub rate (EUR)</t>
        </is>
      </c>
      <c r="F5" s="3" t="inlineStr">
        <is>
          <t>Sub rate citation</t>
        </is>
      </c>
      <c r="G5" s="3" t="inlineStr">
        <is>
          <t>Sub amount (EUR)</t>
        </is>
      </c>
      <c r="H5" s="3" t="inlineStr">
        <is>
          <t>Sub amount citation</t>
        </is>
      </c>
      <c r="I5" s="3" t="inlineStr">
        <is>
          <t>Closest BoQ item</t>
        </is>
      </c>
      <c r="J5" s="3" t="inlineStr">
        <is>
          <t>BoQ rate (EUR, 2 dp)</t>
        </is>
      </c>
      <c r="K5" s="3" t="inlineStr">
        <is>
          <t>BoQ rate citation (priced Bill)</t>
        </is>
      </c>
      <c r="L5" s="3" t="inlineStr">
        <is>
          <t>BoQ rate citation (Period-10 Lab Extract)</t>
        </is>
      </c>
      <c r="M5" s="3" t="inlineStr">
        <is>
          <t>Decision</t>
        </is>
      </c>
      <c r="N5" s="3" t="inlineStr">
        <is>
          <t>Decision basis</t>
        </is>
      </c>
      <c r="O5" s="3" t="inlineStr">
        <is>
          <t>Decision citation</t>
        </is>
      </c>
      <c r="P5" s="3" t="inlineStr">
        <is>
          <t>Assessed value (EUR)</t>
        </is>
      </c>
      <c r="Q5" s="3" t="inlineStr">
        <is>
          <t>Assessed value citation</t>
        </is>
      </c>
    </row>
    <row r="6">
      <c r="A6" s="4" t="inlineStr">
        <is>
          <t>V1</t>
        </is>
      </c>
      <c r="B6" s="4" t="inlineStr">
        <is>
          <t>Additional CRAH units, N+1</t>
        </is>
      </c>
      <c r="C6" s="4" t="n">
        <v>4</v>
      </c>
      <c r="D6" s="4" t="inlineStr">
        <is>
          <t>nr</t>
        </is>
      </c>
      <c r="E6" s="5" t="n">
        <v>96400</v>
      </c>
      <c r="F6" s="4" t="inlineStr">
        <is>
          <t>10_Correspondence/10.1_TP-005_Ilmatek_Submissions/Period_10_—_December_2026/PDC-QUO-005-001_Ilmatek_EI-007_Quotation_2026-12-14.xlsx · sheet 'Quotation' · row 6 · cell E6</t>
        </is>
      </c>
      <c r="G6" s="5">
        <f>C6*E6</f>
        <v/>
      </c>
      <c r="H6" s="4" t="inlineStr">
        <is>
          <t>10_Correspondence/10.1_TP-005_Ilmatek_Submissions/Period_10_—_December_2026/PDC-QUO-005-001_Ilmatek_EI-007_Quotation_2026-12-14.xlsx · sheet 'Quotation' · row 6 · cell E6</t>
        </is>
      </c>
      <c r="I6" s="4" t="inlineStr">
        <is>
          <t>F.03</t>
        </is>
      </c>
      <c r="J6" s="5" t="n">
        <v>80057.06</v>
      </c>
      <c r="K6" s="4" t="inlineStr">
        <is>
          <t>05_BOQ_and_Cost/PDC-BOQ-001_Bill_of_Quantities.xlsx · sheet 'F Mechanical' · row 8 · cell E8</t>
        </is>
      </c>
      <c r="L6" s="4" t="inlineStr">
        <is>
          <t>12_Progress_Reports/12.10_Period_10_—_December_2026/PDC-LAB-P10_Variation_Records_and_BOQ_Extract_Dec2026.xlsx · sheet 'BOQ Extract — Section F' · row 6 · cell E6</t>
        </is>
      </c>
      <c r="M6" s="4" t="inlineStr">
        <is>
          <t>Accept at bill rate</t>
        </is>
      </c>
      <c r="N6" s="4" t="inlineStr">
        <is>
          <t>Same specification, same N+1 configuration, same package — BoQ item F.03 covers this scope at the unit rate (PDC-LAB-P10 'QS Measure' row 6: 4 nr agreed).</t>
        </is>
      </c>
      <c r="O6" s="4" t="inlineStr">
        <is>
          <t>PDC-PC-001 RevC Sub-Cl.13.3.1(c) via SP-9; PDC-SUB-005 Rev1 Cl.7.2 (BoQ as priced instrument).</t>
        </is>
      </c>
      <c r="P6" s="5">
        <f>C6*J6</f>
        <v/>
      </c>
      <c r="Q6" s="4" t="inlineStr">
        <is>
          <t>05_BOQ_and_Cost/PDC-BOQ-001_Bill_of_Quantities.xlsx · sheet 'F Mechanical' · row 8 · cell E8 (BoQ rate × quantity); cross-cited to 12_Progress_Reports/12.10_Period_10_—_December_2026/PDC-LAB-P10_Variation_Records_and_BOQ_Extract_Dec2026.xlsx · sheet 'BOQ Extract — Section F' · row 6 · cell E6</t>
        </is>
      </c>
    </row>
    <row r="7">
      <c r="A7" s="4" t="inlineStr">
        <is>
          <t>V2</t>
        </is>
      </c>
      <c r="B7" s="4" t="inlineStr">
        <is>
          <t>Chilled water pipework, welded + pre-insulated</t>
        </is>
      </c>
      <c r="C7" s="4" t="n">
        <v>180</v>
      </c>
      <c r="D7" s="4" t="inlineStr">
        <is>
          <t>m</t>
        </is>
      </c>
      <c r="E7" s="5" t="n">
        <v>812</v>
      </c>
      <c r="F7" s="4" t="inlineStr">
        <is>
          <t>10_Correspondence/10.1_TP-005_Ilmatek_Submissions/Period_10_—_December_2026/PDC-QUO-005-001_Ilmatek_EI-007_Quotation_2026-12-14.xlsx · sheet 'Quotation' · row 7 · cell E7</t>
        </is>
      </c>
      <c r="G7" s="5">
        <f>C7*E7</f>
        <v/>
      </c>
      <c r="H7" s="4" t="inlineStr">
        <is>
          <t>10_Correspondence/10.1_TP-005_Ilmatek_Submissions/Period_10_—_December_2026/PDC-QUO-005-001_Ilmatek_EI-007_Quotation_2026-12-14.xlsx · sheet 'Quotation' · row 7 · cell E7</t>
        </is>
      </c>
      <c r="I7" s="4" t="inlineStr">
        <is>
          <t>F.06</t>
        </is>
      </c>
      <c r="J7" s="5" t="n">
        <v>662.84</v>
      </c>
      <c r="K7" s="4" t="inlineStr">
        <is>
          <t>05_BOQ_and_Cost/PDC-BOQ-001_Bill_of_Quantities.xlsx · sheet 'F Mechanical' · row 11 · cell E11</t>
        </is>
      </c>
      <c r="L7" s="4" t="inlineStr">
        <is>
          <t>12_Progress_Reports/12.10_Period_10_—_December_2026/PDC-LAB-P10_Variation_Records_and_BOQ_Extract_Dec2026.xlsx · sheet 'BOQ Extract — Section F' · row 7 · cell E7</t>
        </is>
      </c>
      <c r="M7" s="4" t="inlineStr">
        <is>
          <t>Accept at bill rate</t>
        </is>
      </c>
      <c r="N7" s="4" t="inlineStr">
        <is>
          <t>Same character and specification as BoQ item F.06 (PDC-LAB-P10 'QS Measure' row 7: 180 m agreed).</t>
        </is>
      </c>
      <c r="O7" s="4" t="inlineStr">
        <is>
          <t>PDC-PC-001 RevC Sub-Cl.13.3.1(c) via SP-9; PDC-SUB-005 Rev1 Cl.7.2.</t>
        </is>
      </c>
      <c r="P7" s="5">
        <f>C7*J7</f>
        <v/>
      </c>
      <c r="Q7" s="4" t="inlineStr">
        <is>
          <t>05_BOQ_and_Cost/PDC-BOQ-001_Bill_of_Quantities.xlsx · sheet 'F Mechanical' · row 11 · cell E11 (BoQ rate × quantity); cross-cited to 12_Progress_Reports/12.10_Period_10_—_December_2026/PDC-LAB-P10_Variation_Records_and_BOQ_Extract_Dec2026.xlsx · sheet 'BOQ Extract — Section F' · row 7 · cell E7</t>
        </is>
      </c>
    </row>
    <row r="8">
      <c r="A8" s="4" t="inlineStr">
        <is>
          <t>V3</t>
        </is>
      </c>
      <c r="B8" s="4" t="inlineStr">
        <is>
          <t>Heat-recovery pipework to boundary chamber</t>
        </is>
      </c>
      <c r="C8" s="4" t="n">
        <v>40</v>
      </c>
      <c r="D8" s="4" t="inlineStr">
        <is>
          <t>m</t>
        </is>
      </c>
      <c r="E8" s="5" t="n">
        <v>1239.59</v>
      </c>
      <c r="F8" s="4" t="inlineStr">
        <is>
          <t>10_Correspondence/10.1_TP-005_Ilmatek_Submissions/Period_10_—_December_2026/PDC-QUO-005-001_Ilmatek_EI-007_Quotation_2026-12-14.xlsx · sheet 'Quotation' · row 8 · cell E8</t>
        </is>
      </c>
      <c r="G8" s="5">
        <f>C8*E8</f>
        <v/>
      </c>
      <c r="H8" s="4" t="inlineStr">
        <is>
          <t>10_Correspondence/10.1_TP-005_Ilmatek_Submissions/Period_10_—_December_2026/PDC-QUO-005-001_Ilmatek_EI-007_Quotation_2026-12-14.xlsx · sheet 'Quotation' · row 8 · cell E8</t>
        </is>
      </c>
      <c r="I8" s="4" t="inlineStr">
        <is>
          <t>F.09</t>
        </is>
      </c>
      <c r="J8" s="5" t="n">
        <v>1239.59</v>
      </c>
      <c r="K8" s="4" t="inlineStr">
        <is>
          <t>05_BOQ_and_Cost/PDC-BOQ-001_Bill_of_Quantities.xlsx · sheet 'F Mechanical' · row 14 · cell E14</t>
        </is>
      </c>
      <c r="L8" s="4" t="inlineStr">
        <is>
          <t>12_Progress_Reports/12.10_Period_10_—_December_2026/PDC-LAB-P10_Variation_Records_and_BOQ_Extract_Dec2026.xlsx · sheet 'BOQ Extract — Section F' · row 8 · cell E8</t>
        </is>
      </c>
      <c r="M8" s="4" t="inlineStr">
        <is>
          <t>Accept at bill rate (rate matches BoQ to 2 dp)</t>
        </is>
      </c>
      <c r="N8" s="4" t="inlineStr">
        <is>
          <t>Sub rate EUR 1,239.59/m matches BoQ item F.09 to 2 dp (PDC-LAB-P10 'QS Measure' row 8: 40 m agreed).</t>
        </is>
      </c>
      <c r="O8" s="4" t="inlineStr">
        <is>
          <t>PDC-PC-001 RevC Sub-Cl.13.3.1(c) via SP-9; PDC-SUB-005 Rev1 Cl.7.2.</t>
        </is>
      </c>
      <c r="P8" s="5">
        <f>C8*J8</f>
        <v/>
      </c>
      <c r="Q8" s="4" t="inlineStr">
        <is>
          <t>05_BOQ_and_Cost/PDC-BOQ-001_Bill_of_Quantities.xlsx · sheet 'F Mechanical' · row 14 · cell E14 (BoQ rate × quantity); cross-cited to 12_Progress_Reports/12.10_Period_10_—_December_2026/PDC-LAB-P10_Variation_Records_and_BOQ_Extract_Dec2026.xlsx · sheet 'BOQ Extract — Section F' · row 8 · cell E8</t>
        </is>
      </c>
    </row>
    <row r="9">
      <c r="A9" s="4" t="inlineStr">
        <is>
          <t>V4</t>
        </is>
      </c>
      <c r="B9" s="4" t="inlineStr">
        <is>
          <t>CDU connection kits for future liquid-cooled racks</t>
        </is>
      </c>
      <c r="C9" s="4" t="n">
        <v>4</v>
      </c>
      <c r="D9" s="4" t="inlineStr">
        <is>
          <t>nr</t>
        </is>
      </c>
      <c r="E9" s="5" t="n">
        <v>14750</v>
      </c>
      <c r="F9" s="4" t="inlineStr">
        <is>
          <t>10_Correspondence/10.1_TP-005_Ilmatek_Submissions/Period_10_—_December_2026/PDC-QUO-005-001_Ilmatek_EI-007_Quotation_2026-12-14.xlsx · sheet 'Quotation' · row 9 · cell E9</t>
        </is>
      </c>
      <c r="G9" s="5">
        <f>C9*E9</f>
        <v/>
      </c>
      <c r="H9" s="4" t="inlineStr">
        <is>
          <t>10_Correspondence/10.1_TP-005_Ilmatek_Submissions/Period_10_—_December_2026/PDC-QUO-005-001_Ilmatek_EI-007_Quotation_2026-12-14.xlsx · sheet 'Quotation' · row 9 · cell E9</t>
        </is>
      </c>
      <c r="I9" s="4" t="inlineStr">
        <is>
          <t>—</t>
        </is>
      </c>
      <c r="J9" s="5" t="n"/>
      <c r="K9" s="4" t="inlineStr">
        <is>
          <t>NOT IN BOQ — confirmed by PDC-LAB-P10 'BOQ Extract — Section F' row 11</t>
        </is>
      </c>
      <c r="L9" s="4" t="inlineStr">
        <is>
          <t>12_Progress_Reports/12.10_Period_10_—_December_2026/PDC-LAB-P10_Variation_Records_and_BOQ_Extract_Dec2026.xlsx · sheet 'BOQ Extract — Section F' · row 11 — 'no bill item for coolant distribution units'</t>
        </is>
      </c>
      <c r="M9" s="4" t="inlineStr">
        <is>
          <t>PENDING — three evidence items</t>
        </is>
      </c>
      <c r="N9" s="4" t="inlineStr">
        <is>
          <t>Not in priced BoQ; PDC-LAB-P10 'BOQ Extract — Section F' row 11 note: 'no bill item for coolant distribution units. Liquid cooling was not in the Employer's Requirements at tender.' Build-up cites (i) supplier quote SF-2291, (ii) subcontract labour rate (14 h × EUR 68), (iii) measured allowance for pressure test. Plus a 9.4% contingency which has no contractual basis (rejected). Quantities agreed per 'QS Measure' row 9 (4 nr).</t>
        </is>
      </c>
      <c r="O9" s="4" t="inlineStr">
        <is>
          <t>PDC-SUB-005 Rev1 Cl.7.2 'agreed between parties'; PDC-LAB-P10 'BOQ Extract — Section F' row 11 note; EI-007 §2 verbatim 'Item (d) is new: liquid cooling was not within the original Employer's Requirements.'</t>
        </is>
      </c>
      <c r="P9" s="5" t="n"/>
      <c r="Q9" s="4" t="n"/>
    </row>
    <row r="10">
      <c r="A10" s="4" t="inlineStr">
        <is>
          <t>V5</t>
        </is>
      </c>
      <c r="B10" s="4" t="inlineStr">
        <is>
          <t>Commissioning of the additional plant</t>
        </is>
      </c>
      <c r="C10" s="4" t="n">
        <v>1</v>
      </c>
      <c r="D10" s="4" t="inlineStr">
        <is>
          <t>item</t>
        </is>
      </c>
      <c r="E10" s="5" t="n">
        <v>40000</v>
      </c>
      <c r="F10" s="4" t="inlineStr">
        <is>
          <t>10_Correspondence/10.1_TP-005_Ilmatek_Submissions/Period_10_—_December_2026/PDC-QUO-005-001_Ilmatek_EI-007_Quotation_2026-12-14.xlsx · sheet 'Quotation' · row 10 · cell E10</t>
        </is>
      </c>
      <c r="G10" s="5">
        <f>C10*E10</f>
        <v/>
      </c>
      <c r="H10" s="4" t="inlineStr">
        <is>
          <t>10_Correspondence/10.1_TP-005_Ilmatek_Submissions/Period_10_—_December_2026/PDC-QUO-005-001_Ilmatek_EI-007_Quotation_2026-12-14.xlsx · sheet 'Quotation' · row 10 · cell E10</t>
        </is>
      </c>
      <c r="I10" s="4" t="inlineStr">
        <is>
          <t>—</t>
        </is>
      </c>
      <c r="J10" s="5" t="n"/>
      <c r="K10" s="4" t="inlineStr">
        <is>
          <t>05_BOQ_and_Cost/PDC-BOQ-001_Bill_of_Quantities.xlsx · sheet 'Summary' · row 15 / Tender Package col — 'TP — main contract'</t>
        </is>
      </c>
      <c r="L10" s="4" t="inlineStr">
        <is>
          <t>12_Progress_Reports/12.10_Period_10_—_December_2026/PDC-LAB-P10_Variation_Records_and_BOQ_Extract_Dec2026.xlsx · sheet 'BOQ Extract — Section F' · row 10 — exclusion note</t>
        </is>
      </c>
      <c r="M10" s="4" t="inlineStr">
        <is>
          <t>DECLINE — no negotiation</t>
        </is>
      </c>
      <c r="N10" s="4" t="inlineStr">
        <is>
          <t>Doubly excluded. (a) EI-007 §4 verbatim: 'Commissioning of the additional plant falls within the commissioning provision already in the Contract and is not to be re-priced under this instruction.' (b) PDC-LAB-P10 'BOQ Extract — Section F' row 10 note: 'Section J — Commissioning &amp; Handover — is priced to the MAIN CONTRACT, not to TP-005.' PDC-BOQ-001 Summary row 15 shows Section J under 'TP — main contract' (Summary sheet).</t>
        </is>
      </c>
      <c r="O10" s="4" t="inlineStr">
        <is>
          <t>EI-007 §4; PDC-LAB-P10 'BOQ Extract — Section F' row 10 note; PDC-BOQ-001 Summary row 15.</t>
        </is>
      </c>
      <c r="P10" s="5" t="n"/>
      <c r="Q10" s="4" t="n"/>
    </row>
    <row r="11">
      <c r="A11" s="4" t="inlineStr">
        <is>
          <t>V6</t>
        </is>
      </c>
      <c r="B11" s="4" t="inlineStr">
        <is>
          <t>Extended site preliminaries, 6 weeks @ EUR 11,200/wk</t>
        </is>
      </c>
      <c r="C11" s="4" t="n">
        <v>6</v>
      </c>
      <c r="D11" s="4" t="inlineStr">
        <is>
          <t>wk</t>
        </is>
      </c>
      <c r="E11" s="5" t="n">
        <v>11200</v>
      </c>
      <c r="F11" s="4" t="inlineStr">
        <is>
          <t>10_Correspondence/10.1_TP-005_Ilmatek_Submissions/Period_10_—_December_2026/PDC-QUO-005-001_Ilmatek_EI-007_Quotation_2026-12-14.xlsx · sheet 'Quotation' · row 11 · cell E11</t>
        </is>
      </c>
      <c r="G11" s="5">
        <f>C11*E11</f>
        <v/>
      </c>
      <c r="H11" s="4" t="inlineStr">
        <is>
          <t>10_Correspondence/10.1_TP-005_Ilmatek_Submissions/Period_10_—_December_2026/PDC-QUO-005-001_Ilmatek_EI-007_Quotation_2026-12-14.xlsx · sheet 'Quotation' · row 11 · cell E11</t>
        </is>
      </c>
      <c r="I11" s="4" t="inlineStr">
        <is>
          <t>—</t>
        </is>
      </c>
      <c r="J11" s="5" t="n"/>
      <c r="K11" s="4" t="inlineStr">
        <is>
          <t>NOT IN BOQ — Section A is the Main Contract's prem rate, NOT TP-005's rate</t>
        </is>
      </c>
      <c r="L11" s="4" t="inlineStr">
        <is>
          <t>12_Progress_Reports/12.10_Period_10_—_December_2026/PDC-LAB-P10_Variation_Records_and_BOQ_Extract_Dec2026.xlsx · sheet 'BOQ Extract — Section F' · Section A row — and prior refusal of EUR 11,200/wk: PDC-ASS-001 ILM-CLM-001 v2 §5.5 and v6 §309</t>
        </is>
      </c>
      <c r="M11" s="4" t="inlineStr">
        <is>
          <t>PENDING — priced tender site-establishment breakdown</t>
        </is>
      </c>
      <c r="N11" s="4" t="inlineStr">
        <is>
          <t>Rate not in priced BoQ and not in subcontract. Sub's Quotation sheet row 17 note: 'the weekly preliminaries rate is taken from our tender site establishment allowance.' The priced-tender document has not been produced. Same rate was refused in ILM-CLM-001 v2 §5.5 and v6 §309. BoQ Section A is the Main Contract's prem rate (EUR 6,006,000 / 22 months) and is NOT the TP-005 sub's rate — cannot be used in a back-to-back valuation to the sub.</t>
        </is>
      </c>
      <c r="O11" s="4" t="inlineStr">
        <is>
          <t>Sub Quotation sheet row 17 note; PDC-LAB-P10 'BOQ Extract' notes; PDC-ASS-001 ILM-CLM-001 v2 §5.5; v6 §309.</t>
        </is>
      </c>
      <c r="P11" s="5" t="n"/>
      <c r="Q11" s="4" t="n"/>
    </row>
    <row r="12">
      <c r="A12" s="4" t="inlineStr">
        <is>
          <t>OHP</t>
        </is>
      </c>
      <c r="B12" s="4" t="inlineStr">
        <is>
          <t>Overhead and profit at 8% on sub-quoted subtotal EUR 747,543.60</t>
        </is>
      </c>
      <c r="C12" s="4" t="n">
        <v>1</v>
      </c>
      <c r="D12" s="4" t="inlineStr">
        <is>
          <t>item</t>
        </is>
      </c>
      <c r="E12" s="5" t="n">
        <v>59803.49</v>
      </c>
      <c r="F12" s="4" t="inlineStr">
        <is>
          <t>10_Correspondence/10.1_TP-005_Ilmatek_Submissions/Period_10_—_December_2026/PDC-QUO-005-001_Ilmatek_EI-007_Quotation_2026-12-14.xlsx · sheet 'Quotation' · row 14 · cell F14 (= F13 × 8% = 747,543.60 × 8% = 59,803.49 to 2 dp)</t>
        </is>
      </c>
      <c r="G12" s="5">
        <f>C12*E12</f>
        <v/>
      </c>
      <c r="H12" s="4" t="inlineStr">
        <is>
          <t>10_Correspondence/10.1_TP-005_Ilmatek_Submissions/Period_10_—_December_2026/PDC-QUO-005-001_Ilmatek_EI-007_Quotation_2026-12-14.xlsx · sheet 'Quotation' · row 14 · cell F14</t>
        </is>
      </c>
      <c r="I12" s="4" t="inlineStr">
        <is>
          <t>—</t>
        </is>
      </c>
      <c r="J12" s="5" t="n"/>
      <c r="K12" s="4" t="inlineStr">
        <is>
          <t>—</t>
        </is>
      </c>
      <c r="L12" s="4" t="inlineStr">
        <is>
          <t>—</t>
        </is>
      </c>
      <c r="M12" s="4" t="inlineStr">
        <is>
          <t>REJECT — no contractual basis</t>
        </is>
      </c>
      <c r="N12" s="4" t="inlineStr">
        <is>
          <t>Rev1 Cl.7 (Part 2 Cl.7.1, 7.2, ✎7.3) makes no provision for OHP, profit or percentage on a variation. Priced BoQ Section F carries no OHP provision. V1/V2/V3 are competitive-bill-rate lines; the Bill rate is the price for the line, including any OHP the sub chose to embed. No percentage is admitted on any line.</t>
        </is>
      </c>
      <c r="O12" s="4" t="inlineStr">
        <is>
          <t>PDC-SUB-005 Rev1 Part 2 Clause 7 verbatim (no OHP provision).</t>
        </is>
      </c>
      <c r="P12" s="5" t="n"/>
      <c r="Q12" s="4" t="n"/>
    </row>
    <row r="13">
      <c r="E13" s="6" t="n"/>
      <c r="G13" s="6" t="n"/>
      <c r="J13" s="6" t="n"/>
      <c r="P13" s="6" t="n"/>
    </row>
    <row r="14">
      <c r="A14" s="7" t="inlineStr">
        <is>
          <t>INTERIM VALUATION SUBTOTAL</t>
        </is>
      </c>
      <c r="E14" s="6" t="n"/>
      <c r="G14" s="6" t="n"/>
      <c r="J14" s="6" t="n"/>
      <c r="N14" s="8" t="inlineStr">
        <is>
          <t>V1 + V2 + V3 at BoQ rates (EUR). V4, V5, V6, OHP not included — see Decision column.</t>
        </is>
      </c>
      <c r="O14" s="9">
        <f>P6+P7+P8</f>
        <v/>
      </c>
      <c r="P14" s="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50" customWidth="1" min="1" max="1"/>
    <col width="14" customWidth="1" min="2" max="2"/>
    <col width="55" customWidth="1" min="3" max="3"/>
    <col width="35" customWidth="1" min="4" max="4"/>
    <col width="55" customWidth="1" min="5" max="5"/>
    <col width="32" customWidth="1" min="6" max="6"/>
    <col width="80" customWidth="1" min="7" max="7"/>
  </cols>
  <sheetData>
    <row r="1">
      <c r="A1" s="1" t="inlineStr">
        <is>
          <t>PDC-CLM-002 — V4 Build-up scrutiny (CDU connection kits)</t>
        </is>
      </c>
    </row>
    <row r="2">
      <c r="A2" s="2" t="inlineStr">
        <is>
          <t>Position is binary: accepted at cited figure OR pending a specific evidence item. No round-down, no percentage substitution.</t>
        </is>
      </c>
    </row>
    <row r="4" ht="30" customHeight="1">
      <c r="A4" s="3" t="inlineStr">
        <is>
          <t>Component</t>
        </is>
      </c>
      <c r="B4" s="3" t="inlineStr">
        <is>
          <t>EUR per kit</t>
        </is>
      </c>
      <c r="C4" s="3" t="inlineStr">
        <is>
          <t>EUR citation</t>
        </is>
      </c>
      <c r="D4" s="3" t="inlineStr">
        <is>
          <t>Basis cited by sub</t>
        </is>
      </c>
      <c r="E4" s="3" t="inlineStr">
        <is>
          <t>Citation for basis</t>
        </is>
      </c>
      <c r="F4" s="3" t="inlineStr">
        <is>
          <t>Position</t>
        </is>
      </c>
      <c r="G4" s="3" t="inlineStr">
        <is>
          <t>Position basis</t>
        </is>
      </c>
    </row>
    <row r="5">
      <c r="A5" s="4" t="inlineStr">
        <is>
          <t>Manifold set, stainless, 2 x DN50 with isolation</t>
        </is>
      </c>
      <c r="B5" s="5" t="n">
        <v>8100</v>
      </c>
      <c r="C5" s="4" t="inlineStr">
        <is>
          <t>10_Correspondence/10.1_TP-005_Ilmatek_Submissions/Period_10_—_December_2026/PDC-QUO-005-001_Ilmatek_EI-007_Quotation_2026-12-14.xlsx · sheet 'V4 Build-up' · row 6 · cell C6</t>
        </is>
      </c>
      <c r="D5" s="4" t="inlineStr">
        <is>
          <t>supplier quote SF-2291, 12.12.2026</t>
        </is>
      </c>
      <c r="E5" s="4" t="inlineStr">
        <is>
          <t>10_Correspondence/10.1_TP-005_Ilmatek_Submissions/Period_10_—_December_2026/PDC-QUO-005-001_Ilmatek_EI-007_Quotation_2026-12-14.xlsx · sheet 'V4 Build-up' · row 6 · cell B6</t>
        </is>
      </c>
      <c r="F5" s="4" t="inlineStr">
        <is>
          <t>PENDING — receipt of SF-2291</t>
        </is>
      </c>
      <c r="G5" s="4" t="inlineStr">
        <is>
          <t>Sub's quotation build-up cites SF-2291. EUR 8,100/kit accepted at the cited figure, subject to the sub forwarding the SF-2291 PDF within 14 days. If not provided, EUR 8,100/kit converts to 'rate not in records' and the value becomes blank.</t>
        </is>
      </c>
    </row>
    <row r="6">
      <c r="A6" s="4" t="inlineStr">
        <is>
          <t>Flexible hose set and quick-disconnect couplings</t>
        </is>
      </c>
      <c r="B6" s="5" t="n">
        <v>3250</v>
      </c>
      <c r="C6" s="4" t="inlineStr">
        <is>
          <t>10_Correspondence/10.1_TP-005_Ilmatek_Submissions/Period_10_—_December_2026/PDC-QUO-005-001_Ilmatek_EI-007_Quotation_2026-12-14.xlsx · sheet 'V4 Build-up' · row 7 · cell C7</t>
        </is>
      </c>
      <c r="D6" s="4" t="inlineStr">
        <is>
          <t>supplier quote SF-2291</t>
        </is>
      </c>
      <c r="E6" s="4" t="inlineStr">
        <is>
          <t>10_Correspondence/10.1_TP-005_Ilmatek_Submissions/Period_10_—_December_2026/PDC-QUO-005-001_Ilmatek_EI-007_Quotation_2026-12-14.xlsx · sheet 'V4 Build-up' · row 7 · cell B7</t>
        </is>
      </c>
      <c r="F6" s="4" t="inlineStr">
        <is>
          <t>PENDING — receipt of SF-2291</t>
        </is>
      </c>
      <c r="G6" s="4" t="inlineStr">
        <is>
          <t>Same evidence item as the manifold. Accepted at EUR 3,250/kit subject to SF-2291; blank if not provided.</t>
        </is>
      </c>
    </row>
    <row r="7">
      <c r="A7" s="4" t="inlineStr">
        <is>
          <t>Installation labour, 14 h × EUR 68/h</t>
        </is>
      </c>
      <c r="B7" s="5" t="n">
        <v>952</v>
      </c>
      <c r="C7" s="4" t="inlineStr">
        <is>
          <t>10_Correspondence/10.1_TP-005_Ilmatek_Submissions/Period_10_—_December_2026/PDC-QUO-005-001_Ilmatek_EI-007_Quotation_2026-12-14.xlsx · sheet 'V4 Build-up' · row 8 · cell C8</t>
        </is>
      </c>
      <c r="D7" s="4" t="inlineStr">
        <is>
          <t>subcontract labour rate</t>
        </is>
      </c>
      <c r="E7" s="4" t="inlineStr">
        <is>
          <t>10_Correspondence/10.1_TP-005_Ilmatek_Submissions/Period_10_—_December_2026/PDC-QUO-005-001_Ilmatek_EI-007_Quotation_2026-12-14.xlsx · sheet 'V4 Build-up' · row 8 · cell B8</t>
        </is>
      </c>
      <c r="F7" s="4" t="inlineStr">
        <is>
          <t>PENDING — receipt of subcontract tender labour rate table</t>
        </is>
      </c>
      <c r="G7" s="4" t="inlineStr">
        <is>
          <t>Sub build-up cites 'subcontract labour rate' — the rate table is not in the project folder. Accepted at EUR 952/kit subject to the sub producing the table within 14 days. If not provided, blank.</t>
        </is>
      </c>
    </row>
    <row r="8">
      <c r="A8" s="4" t="inlineStr">
        <is>
          <t>Pressure test, flush and certification</t>
        </is>
      </c>
      <c r="B8" s="5" t="n">
        <v>1180</v>
      </c>
      <c r="C8" s="4" t="inlineStr">
        <is>
          <t>10_Correspondence/10.1_TP-005_Ilmatek_Submissions/Period_10_—_December_2026/PDC-QUO-005-001_Ilmatek_EI-007_Quotation_2026-12-14.xlsx · sheet 'V4 Build-up' · row 9 · cell C9</t>
        </is>
      </c>
      <c r="D8" s="4" t="inlineStr">
        <is>
          <t>measured allowance</t>
        </is>
      </c>
      <c r="E8" s="4" t="inlineStr">
        <is>
          <t>10_Correspondence/10.1_TP-005_Ilmatek_Submissions/Period_10_—_December_2026/PDC-QUO-005-001_Ilmatek_EI-007_Quotation_2026-12-14.xlsx · sheet 'V4 Build-up' · row 9 · cell B9</t>
        </is>
      </c>
      <c r="F8" s="4" t="inlineStr">
        <is>
          <t>PENDING — receipt of one-line scope description</t>
        </is>
      </c>
      <c r="G8" s="4" t="inlineStr">
        <is>
          <t>Sub build-up cites 'measured allowance' with no scope (PED category, flush volume, certification body). Accepted at EUR 1,180/kit subject to a one-line scope within 14 days. If not provided, blank.</t>
        </is>
      </c>
    </row>
    <row r="9">
      <c r="A9" s="4" t="inlineStr">
        <is>
          <t>Sub-total per kit</t>
        </is>
      </c>
      <c r="B9" s="5">
        <f>SUM(C6:C9)</f>
        <v/>
      </c>
      <c r="C9" s="4" t="inlineStr">
        <is>
          <t>10_Correspondence/10.1_TP-005_Ilmatek_Submissions/Period_10_—_December_2026/PDC-QUO-005-001_Ilmatek_EI-007_Quotation_2026-12-14.xlsx · sheet 'V4 Build-up' · row 10 · cell C10</t>
        </is>
      </c>
      <c r="D9" s="4">
        <f>SUM(C6:C9)</f>
        <v/>
      </c>
      <c r="E9" s="4" t="inlineStr">
        <is>
          <t>10_Correspondence/10.1_TP-005_Ilmatek_Submissions/Period_10_—_December_2026/PDC-QUO-005-001_Ilmatek_EI-007_Quotation_2026-12-14.xlsx · sheet 'V4 Build-up' · row 10 · cell B10</t>
        </is>
      </c>
      <c r="F9" s="4" t="inlineStr">
        <is>
          <t>—</t>
        </is>
      </c>
      <c r="G9" s="4" t="inlineStr">
        <is>
          <t>Sub's quoted sub-total at quoted figures (sub's own sum). NB: the 14-day evidence window is already running from the date of the assessment letter.</t>
        </is>
      </c>
    </row>
    <row r="10">
      <c r="A10" s="4" t="inlineStr">
        <is>
          <t>Contingency at 9.4%</t>
        </is>
      </c>
      <c r="B10" s="5" t="n">
        <v>1268</v>
      </c>
      <c r="C10" s="4" t="inlineStr">
        <is>
          <t>10_Correspondence/10.1_TP-005_Ilmatek_Submissions/Period_10_—_December_2026/PDC-QUO-005-001_Ilmatek_EI-007_Quotation_2026-12-14.xlsx · sheet 'V4 Build-up' · row 11 · cell C11</t>
        </is>
      </c>
      <c r="D10" s="4" t="inlineStr">
        <is>
          <t>supplier lead-time risk</t>
        </is>
      </c>
      <c r="E10" s="4" t="inlineStr">
        <is>
          <t>10_Correspondence/10.1_TP-005_Ilmatek_Submissions/Period_10_—_December_2026/PDC-QUO-005-001_Ilmatek_EI-007_Quotation_2026-12-14.xlsx · sheet 'V4 Build-up' · row 11 · cell B11</t>
        </is>
      </c>
      <c r="F10" s="4" t="inlineStr">
        <is>
          <t>REJECT — no contractual basis</t>
        </is>
      </c>
      <c r="G10" s="4" t="inlineStr">
        <is>
          <t>The contract does not provide for a contingency on a variation. Supplier lead-time risk is part of the supplier's price (i.e. inside SF-2291), not the contractor's. Distinct from the four accepted components above; rejected on contractual grounds.</t>
        </is>
      </c>
    </row>
    <row r="11">
      <c r="A11" s="4" t="inlineStr">
        <is>
          <t>TOTAL PER KIT</t>
        </is>
      </c>
      <c r="B11" s="5">
        <f>C10+C11</f>
        <v/>
      </c>
      <c r="C11" s="4" t="inlineStr">
        <is>
          <t>10_Correspondence/10.1_TP-005_Ilmatek_Submissions/Period_10_—_December_2026/PDC-QUO-005-001_Ilmatek_EI-007_Quotation_2026-12-14.xlsx · sheet 'V4 Build-up' · row 12 · cell C12</t>
        </is>
      </c>
      <c r="D11" s="4">
        <f>C10+C11</f>
        <v/>
      </c>
      <c r="E11" s="4" t="inlineStr">
        <is>
          <t>10_Correspondence/10.1_TP-005_Ilmatek_Submissions/Period_10_—_December_2026/PDC-QUO-005-001_Ilmatek_EI-007_Quotation_2026-12-14.xlsx · sheet 'V4 Build-up' · row 12 · cell B12</t>
        </is>
      </c>
      <c r="F11" s="4" t="inlineStr">
        <is>
          <t>—</t>
        </is>
      </c>
      <c r="G11" s="4" t="inlineStr">
        <is>
          <t>Sub's total per kit = sub-total + contingency. Cited by the sub as the per-kit basis for V4 = 4 × EUR 14,750 = EUR 59,000.</t>
        </is>
      </c>
    </row>
    <row r="13">
      <c r="A13" s="10" t="inlineStr">
        <is>
          <t>V4 total at conditional price (4 × EUR 13,482/kit) — PENDING on SF-2291, labour rate table and pressure-test scope</t>
        </is>
      </c>
      <c r="B13" s="11">
        <f>C10*4</f>
        <v/>
      </c>
      <c r="G13" s="8" t="inlineStr">
        <is>
          <t>Recorded for reference only. Assessed value in '1. Quotation lines' column P is BLANK until evidence received.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ySplit="5" topLeftCell="A6" activePane="bottomLeft" state="frozen"/>
      <selection pane="bottomLeft" activeCell="A1" sqref="A1"/>
    </sheetView>
  </sheetViews>
  <sheetFormatPr baseColWidth="8" defaultRowHeight="15"/>
  <cols>
    <col width="8" customWidth="1" min="1" max="1"/>
    <col width="42" customWidth="1" min="2" max="2"/>
    <col width="75" customWidth="1" min="3" max="3"/>
    <col width="18" customWidth="1" min="4" max="4"/>
    <col width="65" customWidth="1" min="5" max="5"/>
  </cols>
  <sheetData>
    <row r="1">
      <c r="A1" s="1" t="inlineStr">
        <is>
          <t>PDC-CLM-002 — Interim valuation to the Engineer under SP-9 (Sub-Cl.13.3.1)</t>
        </is>
      </c>
    </row>
    <row r="2">
      <c r="A2" s="2" t="inlineStr">
        <is>
          <t>28-day interim valuation due 31.12.2026 (instruction dated 03.12.2026)</t>
        </is>
      </c>
    </row>
    <row r="3">
      <c r="A3" s="2" t="inlineStr">
        <is>
          <t>Operative contract: PDC-PC-001 Rev C, signed 24.02.2026. Operative subcontract: PDC-SUB-005 Rev 1 (Rev0 withdrawn).</t>
        </is>
      </c>
    </row>
    <row r="5">
      <c r="A5" s="3" t="inlineStr">
        <is>
          <t>Line</t>
        </is>
      </c>
      <c r="B5" s="3" t="inlineStr">
        <is>
          <t>Head</t>
        </is>
      </c>
      <c r="C5" s="3" t="inlineStr">
        <is>
          <t>Treatment</t>
        </is>
      </c>
      <c r="D5" s="3" t="inlineStr">
        <is>
          <t>EUR</t>
        </is>
      </c>
      <c r="E5" s="3" t="inlineStr">
        <is>
          <t>EUR citation</t>
        </is>
      </c>
    </row>
    <row r="6">
      <c r="A6" s="4" t="inlineStr">
        <is>
          <t>V1</t>
        </is>
      </c>
      <c r="B6" s="4" t="inlineStr">
        <is>
          <t>Additional CRAH units, N+1</t>
        </is>
      </c>
      <c r="C6" s="4" t="inlineStr">
        <is>
          <t>Accept at BoQ rate F.03 (EUR 80,057.06/nr × 4) — quantity agreed per QS Measure</t>
        </is>
      </c>
      <c r="D6" s="5">
        <f>4*80057.06</f>
        <v/>
      </c>
      <c r="E6" s="4" t="inlineStr">
        <is>
          <t>05_BOQ_and_Cost/PDC-BOQ-001_Bill_of_Quantities.xlsx · sheet 'F Mechanical' · row 8 · cell E8 (cell stores 80057.05628850675)</t>
        </is>
      </c>
    </row>
    <row r="7">
      <c r="A7" s="4" t="inlineStr">
        <is>
          <t>V2</t>
        </is>
      </c>
      <c r="B7" s="4" t="inlineStr">
        <is>
          <t>Chilled water pipework (180 m)</t>
        </is>
      </c>
      <c r="C7" s="4" t="inlineStr">
        <is>
          <t>Accept at BoQ rate F.06 (EUR 662.84/m × 180) — quantity agreed per QS Measure</t>
        </is>
      </c>
      <c r="D7" s="5">
        <f>180*662.84</f>
        <v/>
      </c>
      <c r="E7" s="4" t="inlineStr">
        <is>
          <t>05_BOQ_and_Cost/PDC-BOQ-001_Bill_of_Quantities.xlsx · sheet 'F Mechanical' · row 11 · cell E11 (cell stores 662.8379929263463)</t>
        </is>
      </c>
    </row>
    <row r="8">
      <c r="A8" s="4" t="inlineStr">
        <is>
          <t>V3</t>
        </is>
      </c>
      <c r="B8" s="4" t="inlineStr">
        <is>
          <t>Heat-recovery pipework (40 m)</t>
        </is>
      </c>
      <c r="C8" s="4" t="inlineStr">
        <is>
          <t>Accept at BoQ rate F.09 (EUR 1,239.59/m × 40) — quantity agreed per QS Measure; sub rate matches BoQ to 2 dp</t>
        </is>
      </c>
      <c r="D8" s="5">
        <f>40*1239.59</f>
        <v/>
      </c>
      <c r="E8" s="4" t="inlineStr">
        <is>
          <t>05_BOQ_and_Cost/PDC-BOQ-001_Bill_of_Quantities.xlsx · sheet 'F Mechanical' · row 14 · cell E14 (cell stores 1239.593129628492)</t>
        </is>
      </c>
    </row>
    <row r="9">
      <c r="A9" s="4" t="inlineStr">
        <is>
          <t>V4</t>
        </is>
      </c>
      <c r="B9" s="4" t="inlineStr">
        <is>
          <t>CDU connection kits (4 nr)</t>
        </is>
      </c>
      <c r="C9" s="4" t="inlineStr">
        <is>
          <t>NOT INCLUDED — pending SF-2291, subcontract tender labour rate table, and pressure-test scope from Ilmatek.</t>
        </is>
      </c>
      <c r="D9" s="5" t="n">
        <v>0</v>
      </c>
      <c r="E9" s="4" t="inlineStr">
        <is>
          <t>12_Progress_Reports/12.10_Period_10_—_December_2026/PDC-LAB-P10_Variation_Records_and_BOQ_Extract_Dec2026.xlsx · sheet 'BOQ Extract — Section F' · row 11 — 'no bill item for coolant distribution units'</t>
        </is>
      </c>
    </row>
    <row r="10">
      <c r="A10" s="4" t="inlineStr">
        <is>
          <t>V5</t>
        </is>
      </c>
      <c r="B10" s="4" t="inlineStr">
        <is>
          <t>Commissioning of the additional plant</t>
        </is>
      </c>
      <c r="C10" s="4" t="inlineStr">
        <is>
          <t>NOT INCLUDED — declined per EI-007 §4 and PDC-LAB-P10 'BOQ Extract — Section F' row 10 (Section J priced to main contract, not TP-005).</t>
        </is>
      </c>
      <c r="D10" s="5" t="n">
        <v>0</v>
      </c>
      <c r="E10" s="4" t="inlineStr">
        <is>
          <t>12_Progress_Reports/12.10_Period_10_—_December_2026/PDC-LAB-P10_Variation_Records_and_BOQ_Extract_Dec2026.xlsx · sheet 'BOQ Extract — Section F' · row 10 — Section J exclusion note</t>
        </is>
      </c>
    </row>
    <row r="11">
      <c r="A11" s="4" t="inlineStr">
        <is>
          <t>V6</t>
        </is>
      </c>
      <c r="B11" s="4" t="inlineStr">
        <is>
          <t>Extended site preliminaries (6 weeks)</t>
        </is>
      </c>
      <c r="C11" s="4" t="inlineStr">
        <is>
          <t>NOT INCLUDED — pending priced tender site-establishment breakdown from Ilmatek. EUR 11,200/wk refused twice in ILM-CLM-001 v2 §5.5 and v6 §309.</t>
        </is>
      </c>
      <c r="D11" s="5" t="n">
        <v>0</v>
      </c>
      <c r="E11" s="4" t="inlineStr">
        <is>
          <t>PDC-ASS-001 ILM-CLM-001 v2 §5.5 and v6 §309</t>
        </is>
      </c>
    </row>
    <row r="12">
      <c r="A12" s="4" t="inlineStr">
        <is>
          <t>OHP</t>
        </is>
      </c>
      <c r="B12" s="4" t="inlineStr">
        <is>
          <t>Overhead and profit (8% on sub-quoted subtotal EUR 747,543.60)</t>
        </is>
      </c>
      <c r="C12" s="4" t="inlineStr">
        <is>
          <t>NOT INCLUDED — no OHP provision in Rev1 Cl.7 or priced BoQ Section F. Bill rates already contain competitively-priced OHP.</t>
        </is>
      </c>
      <c r="D12" s="5" t="n">
        <v>0</v>
      </c>
      <c r="E12" s="4" t="inlineStr">
        <is>
          <t>PDC-SUB-005 Rev1 Part 2 Clause 7 verbatim</t>
        </is>
      </c>
    </row>
    <row r="14">
      <c r="A14" s="7" t="inlineStr">
        <is>
          <t>INTERIM VALUATION TOTAL</t>
        </is>
      </c>
      <c r="C14" s="8" t="inlineStr">
        <is>
          <t>V1 + V2 + V3 at BoQ rates (EUR). Valuation to Engineer and payment to Ilmatek reconciled to the cent.</t>
        </is>
      </c>
      <c r="D14" s="12">
        <f>SUM(D6:D12)</f>
        <v/>
      </c>
      <c r="E14" t="inlineStr">
        <is>
          <t>05_BOQ_and_Cost/PDC-BOQ-001_Bill_of_Quantities.xlsx · sheet 'F Mechanical' · cells E8 / E11 / E14 (F.03 / F.06 / F.09)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18" customWidth="1" min="3" max="3"/>
    <col width="18" customWidth="1" min="4" max="4"/>
    <col width="14" customWidth="1" min="5" max="5"/>
    <col width="75" customWidth="1" min="6" max="6"/>
  </cols>
  <sheetData>
    <row r="1">
      <c r="A1" s="1" t="inlineStr">
        <is>
          <t>PDC-CLM-002 — Programme position supporting the no-EOT stance on EI-007</t>
        </is>
      </c>
    </row>
    <row r="2">
      <c r="A2" s="2" t="inlineStr">
        <is>
          <t>Source: PDC-LAB-P10 'Programme Impact' sheet, 22.12.2026 working programme update.</t>
        </is>
      </c>
    </row>
    <row r="4">
      <c r="A4" s="3" t="inlineStr">
        <is>
          <t>Activity ID</t>
        </is>
      </c>
      <c r="B4" s="3" t="inlineStr">
        <is>
          <t>Description</t>
        </is>
      </c>
      <c r="C4" s="3" t="inlineStr">
        <is>
          <t>Duration (wd)</t>
        </is>
      </c>
      <c r="D4" s="3" t="inlineStr">
        <is>
          <t>Total float (wd)</t>
        </is>
      </c>
      <c r="E4" s="3" t="inlineStr">
        <is>
          <t>Critical?</t>
        </is>
      </c>
      <c r="F4" s="3" t="inlineStr">
        <is>
          <t>Citation</t>
        </is>
      </c>
    </row>
    <row r="5">
      <c r="A5" s="4" t="inlineStr">
        <is>
          <t>IL-1420</t>
        </is>
      </c>
      <c r="B5" s="4" t="inlineStr">
        <is>
          <t>DH4 CRAH installation (EI-007 works)</t>
        </is>
      </c>
      <c r="C5" s="4" t="n">
        <v>18</v>
      </c>
      <c r="D5" s="4" t="n">
        <v>26</v>
      </c>
      <c r="E5" s="4" t="inlineStr">
        <is>
          <t>No</t>
        </is>
      </c>
      <c r="F5" s="4" t="inlineStr">
        <is>
          <t>12_Progress_Reports/12.10_Period_10_—_December_2026/PDC-LAB-P10_Variation_Records_and_BOQ_Extract_Dec2026.xlsx · sheet 'Programme Impact' · row 6 · cells A6-E6</t>
        </is>
      </c>
    </row>
    <row r="6">
      <c r="A6" s="4" t="inlineStr">
        <is>
          <t>IL-1430</t>
        </is>
      </c>
      <c r="B6" s="4" t="inlineStr">
        <is>
          <t>DH4 pipework connections (EI-007 works)</t>
        </is>
      </c>
      <c r="C6" s="4" t="n">
        <v>12</v>
      </c>
      <c r="D6" s="4" t="n">
        <v>26</v>
      </c>
      <c r="E6" s="4" t="inlineStr">
        <is>
          <t>No</t>
        </is>
      </c>
      <c r="F6" s="4" t="inlineStr">
        <is>
          <t>12_Progress_Reports/12.10_Period_10_—_December_2026/PDC-LAB-P10_Variation_Records_and_BOQ_Extract_Dec2026.xlsx · sheet 'Programme Impact' · row 7 · cells A7-E7</t>
        </is>
      </c>
    </row>
    <row r="7">
      <c r="A7" s="4" t="inlineStr">
        <is>
          <t>IL-1600</t>
        </is>
      </c>
      <c r="B7" s="4" t="inlineStr">
        <is>
          <t>Mechanical commissioning, DH1-DH4</t>
        </is>
      </c>
      <c r="C7" s="4" t="n">
        <v>45</v>
      </c>
      <c r="D7" s="4" t="n">
        <v>0</v>
      </c>
      <c r="E7" s="4" t="inlineStr">
        <is>
          <t>Yes</t>
        </is>
      </c>
      <c r="F7" s="4" t="inlineStr">
        <is>
          <t>12_Progress_Reports/12.10_Period_10_—_December_2026/PDC-LAB-P10_Variation_Records_and_BOQ_Extract_Dec2026.xlsx · sheet 'Programme Impact' · row 8 · cells A8-E8</t>
        </is>
      </c>
    </row>
    <row r="9">
      <c r="A9" s="13" t="inlineStr">
        <is>
          <t>Programmed position: EI-007 sits on activities with 26 wd of float (not critical); it does NOT touch IL-1600 (critical). PDC-EI-007 §5 confirms no EOT. The no-EOT position has contractual text PLUS engineering float. NO CONCURRENCY ARISES.</t>
        </is>
      </c>
    </row>
    <row r="10">
      <c r="A10" s="8" t="inlineStr">
        <is>
          <t>Source row 10 verbatim: 'the instructed work sits on activities carrying 26 wd of float and does not touch IL-1600 or the Time for Completion.'</t>
        </is>
      </c>
    </row>
    <row r="11">
      <c r="A11" s="8" t="inlineStr">
        <is>
          <t>Source row 11 verbatim: 'PDC-EI-007 paragraph 5 states the instruction does not extend the Time for Completion.'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9"/>
  <sheetViews>
    <sheetView workbookViewId="0">
      <pane ySplit="3" topLeftCell="A4" activePane="bottomLeft" state="frozen"/>
      <selection pane="bottomLeft" activeCell="A1" sqref="A1"/>
    </sheetView>
  </sheetViews>
  <sheetFormatPr baseColWidth="8" defaultRowHeight="15"/>
  <cols>
    <col width="32" customWidth="1" min="1" max="1"/>
    <col width="65" customWidth="1" min="2" max="2"/>
    <col width="30" customWidth="1" min="3" max="3"/>
    <col width="30" customWidth="1" min="4" max="4"/>
    <col width="90" customWidth="1" min="5" max="5"/>
  </cols>
  <sheetData>
    <row r="1">
      <c r="A1" s="1" t="inlineStr">
        <is>
          <t>Every cell-level citation used in this workbook, in one place</t>
        </is>
      </c>
    </row>
    <row r="3">
      <c r="A3" s="3" t="inlineStr">
        <is>
          <t>Used for</t>
        </is>
      </c>
      <c r="B3" s="3" t="inlineStr">
        <is>
          <t>File</t>
        </is>
      </c>
      <c r="C3" s="3" t="inlineStr">
        <is>
          <t>Sheet</t>
        </is>
      </c>
      <c r="D3" s="3" t="inlineStr">
        <is>
          <t>Row / Cell</t>
        </is>
      </c>
      <c r="E3" s="3" t="inlineStr">
        <is>
          <t>Verbatim</t>
        </is>
      </c>
    </row>
    <row r="4">
      <c r="A4" s="4" t="inlineStr">
        <is>
          <t>V1 sub rate</t>
        </is>
      </c>
      <c r="B4" s="4" t="inlineStr">
        <is>
          <t>10_Correspondence/10.1_TP-005_Ilmatek_Submissions/Period_10_—_December_2026/PDC-QUO-005-001_Ilmatek_EI-007_Quotation_2026-12-14.xlsx</t>
        </is>
      </c>
      <c r="C4" s="4" t="inlineStr">
        <is>
          <t>Quotation</t>
        </is>
      </c>
      <c r="D4" s="4" t="inlineStr">
        <is>
          <t>row 6 / cell E6</t>
        </is>
      </c>
      <c r="E4" s="4" t="inlineStr">
        <is>
          <t>V1 | Additional CRAH units to DH4, N+1 configuration | nr | 4 | 96,400 | 385,600</t>
        </is>
      </c>
    </row>
    <row r="5">
      <c r="A5" s="4" t="inlineStr">
        <is>
          <t>V2 sub rate</t>
        </is>
      </c>
      <c r="B5" s="4" t="inlineStr">
        <is>
          <t>10_Correspondence/10.1_TP-005_Ilmatek_Submissions/Period_10_—_December_2026/PDC-QUO-005-001_Ilmatek_EI-007_Quotation_2026-12-14.xlsx</t>
        </is>
      </c>
      <c r="C5" s="4" t="inlineStr">
        <is>
          <t>Quotation</t>
        </is>
      </c>
      <c r="D5" s="4" t="inlineStr">
        <is>
          <t>row 7 / cell E7</t>
        </is>
      </c>
      <c r="E5" s="4" t="inlineStr">
        <is>
          <t>V2 | Chilled water pipework, welded and pre-insulated | m | 180 | 812 | 146,160</t>
        </is>
      </c>
    </row>
    <row r="6">
      <c r="A6" s="4" t="inlineStr">
        <is>
          <t>V3 sub rate</t>
        </is>
      </c>
      <c r="B6" s="4" t="inlineStr">
        <is>
          <t>10_Correspondence/10.1_TP-005_Ilmatek_Submissions/Period_10_—_December_2026/PDC-QUO-005-001_Ilmatek_EI-007_Quotation_2026-12-14.xlsx</t>
        </is>
      </c>
      <c r="C6" s="4" t="inlineStr">
        <is>
          <t>Quotation</t>
        </is>
      </c>
      <c r="D6" s="4" t="inlineStr">
        <is>
          <t>row 8 / cell E8</t>
        </is>
      </c>
      <c r="E6" s="4" t="inlineStr">
        <is>
          <t>V3 | Heat-recovery pipework extension to boundary chamber | m | 40 | 1,239.59 | 49,583.60</t>
        </is>
      </c>
    </row>
    <row r="7">
      <c r="A7" s="4" t="inlineStr">
        <is>
          <t>V4 sub rate</t>
        </is>
      </c>
      <c r="B7" s="4" t="inlineStr">
        <is>
          <t>10_Correspondence/10.1_TP-005_Ilmatek_Submissions/Period_10_—_December_2026/PDC-QUO-005-001_Ilmatek_EI-007_Quotation_2026-12-14.xlsx</t>
        </is>
      </c>
      <c r="C7" s="4" t="inlineStr">
        <is>
          <t>Quotation</t>
        </is>
      </c>
      <c r="D7" s="4" t="inlineStr">
        <is>
          <t>row 9 / cell E9</t>
        </is>
      </c>
      <c r="E7" s="4" t="inlineStr">
        <is>
          <t>V4 | CDU connection kits for future liquid-cooled racks | nr | 4 | 14,750 | 59,000</t>
        </is>
      </c>
    </row>
    <row r="8">
      <c r="A8" s="4" t="inlineStr">
        <is>
          <t>V5 sub rate</t>
        </is>
      </c>
      <c r="B8" s="4" t="inlineStr">
        <is>
          <t>10_Correspondence/10.1_TP-005_Ilmatek_Submissions/Period_10_—_December_2026/PDC-QUO-005-001_Ilmatek_EI-007_Quotation_2026-12-14.xlsx</t>
        </is>
      </c>
      <c r="C8" s="4" t="inlineStr">
        <is>
          <t>Quotation</t>
        </is>
      </c>
      <c r="D8" s="4" t="inlineStr">
        <is>
          <t>row 10 / cell E10</t>
        </is>
      </c>
      <c r="E8" s="4" t="inlineStr">
        <is>
          <t>V5 | Commissioning of the additional plant | item | 1 | 40,000 | 40,000</t>
        </is>
      </c>
    </row>
    <row r="9">
      <c r="A9" s="4" t="inlineStr">
        <is>
          <t>V6 sub rate</t>
        </is>
      </c>
      <c r="B9" s="4" t="inlineStr">
        <is>
          <t>10_Correspondence/10.1_TP-005_Ilmatek_Submissions/Period_10_—_December_2026/PDC-QUO-005-001_Ilmatek_EI-007_Quotation_2026-12-14.xlsx</t>
        </is>
      </c>
      <c r="C9" s="4" t="inlineStr">
        <is>
          <t>Quotation</t>
        </is>
      </c>
      <c r="D9" s="4" t="inlineStr">
        <is>
          <t>row 11 / cell E11</t>
        </is>
      </c>
      <c r="E9" s="4" t="inlineStr">
        <is>
          <t>V6 | Extended site preliminaries, 6 weeks at EUR 11,200 per week | wk | 6 | 11,200 | 67,200</t>
        </is>
      </c>
    </row>
    <row r="10">
      <c r="A10" s="4" t="inlineStr">
        <is>
          <t>Sub-quotation subtotal (OHP base)</t>
        </is>
      </c>
      <c r="B10" s="4" t="inlineStr">
        <is>
          <t>10_Correspondence/10.1_TP-005_Ilmatek_Submissions/Period_10_—_December_2026/PDC-QUO-005-001_Ilmatek_EI-007_Quotation_2026-12-14.xlsx</t>
        </is>
      </c>
      <c r="C10" s="4" t="inlineStr">
        <is>
          <t>Quotation</t>
        </is>
      </c>
      <c r="D10" s="4" t="inlineStr">
        <is>
          <t>row 13 / cell F13</t>
        </is>
      </c>
      <c r="E10" s="4" t="inlineStr">
        <is>
          <t>SUBTOTAL | 747,543.60</t>
        </is>
      </c>
    </row>
    <row r="11">
      <c r="A11" s="4" t="inlineStr">
        <is>
          <t>Sub-quotation OHP</t>
        </is>
      </c>
      <c r="B11" s="4" t="inlineStr">
        <is>
          <t>10_Correspondence/10.1_TP-005_Ilmatek_Submissions/Period_10_—_December_2026/PDC-QUO-005-001_Ilmatek_EI-007_Quotation_2026-12-14.xlsx</t>
        </is>
      </c>
      <c r="C11" s="4" t="inlineStr">
        <is>
          <t>Quotation</t>
        </is>
      </c>
      <c r="D11" s="4" t="inlineStr">
        <is>
          <t>row 14 / cell F14</t>
        </is>
      </c>
      <c r="E11" s="4" t="inlineStr">
        <is>
          <t>Overhead and profit at 8% | 59,803.49</t>
        </is>
      </c>
    </row>
    <row r="12">
      <c r="A12" s="4" t="inlineStr">
        <is>
          <t>Sub-quotation total</t>
        </is>
      </c>
      <c r="B12" s="4" t="inlineStr">
        <is>
          <t>10_Correspondence/10.1_TP-005_Ilmatek_Submissions/Period_10_—_December_2026/PDC-QUO-005-001_Ilmatek_EI-007_Quotation_2026-12-14.xlsx</t>
        </is>
      </c>
      <c r="C12" s="4" t="inlineStr">
        <is>
          <t>Quotation</t>
        </is>
      </c>
      <c r="D12" s="4" t="inlineStr">
        <is>
          <t>row 15 / cell F15</t>
        </is>
      </c>
      <c r="E12" s="4" t="inlineStr">
        <is>
          <t>TOTAL QUOTED | 807,347.09</t>
        </is>
      </c>
    </row>
    <row r="13">
      <c r="A13" s="4" t="inlineStr">
        <is>
          <t>Sub-quotation preliminaries note</t>
        </is>
      </c>
      <c r="B13" s="4" t="inlineStr">
        <is>
          <t>10_Correspondence/10.1_TP-005_Ilmatek_Submissions/Period_10_—_December_2026/PDC-QUO-005-001_Ilmatek_EI-007_Quotation_2026-12-14.xlsx</t>
        </is>
      </c>
      <c r="C13" s="4" t="inlineStr">
        <is>
          <t>Quotation</t>
        </is>
      </c>
      <c r="D13" s="4" t="inlineStr">
        <is>
          <t>row 17 / cell A17</t>
        </is>
      </c>
      <c r="E13" s="4" t="inlineStr">
        <is>
          <t>Note: the weekly preliminaries rate is taken from our tender site establishment allowance.</t>
        </is>
      </c>
    </row>
    <row r="14">
      <c r="A14" s="4" t="inlineStr">
        <is>
          <t>Sub-quotation Cl.7.2 reference note</t>
        </is>
      </c>
      <c r="B14" s="4" t="inlineStr">
        <is>
          <t>10_Correspondence/10.1_TP-005_Ilmatek_Submissions/Period_10_—_December_2026/PDC-QUO-005-001_Ilmatek_EI-007_Quotation_2026-12-14.xlsx</t>
        </is>
      </c>
      <c r="C14" s="4" t="inlineStr">
        <is>
          <t>Quotation</t>
        </is>
      </c>
      <c r="D14" s="4" t="inlineStr">
        <is>
          <t>row 18 / cell A18</t>
        </is>
      </c>
      <c r="E14" s="4" t="inlineStr">
        <is>
          <t>Note: Subcontract Clause 7.2 provides that the value of a variation shall be agreed between the parties.</t>
        </is>
      </c>
    </row>
    <row r="15">
      <c r="A15" s="4" t="inlineStr">
        <is>
          <t>V4 manifold</t>
        </is>
      </c>
      <c r="B15" s="4" t="inlineStr">
        <is>
          <t>10_Correspondence/10.1_TP-005_Ilmatek_Submissions/Period_10_—_December_2026/PDC-QUO-005-001_Ilmatek_EI-007_Quotation_2026-12-14.xlsx</t>
        </is>
      </c>
      <c r="C15" s="4" t="inlineStr">
        <is>
          <t>V4 Build-up</t>
        </is>
      </c>
      <c r="D15" s="4" t="inlineStr">
        <is>
          <t>row 6 / cell C6</t>
        </is>
      </c>
      <c r="E15" s="4" t="inlineStr">
        <is>
          <t>Manifold set, stainless, 2 x DN50 with isolation | supplier quote SF-2291, 12.12.2026 | 8,100</t>
        </is>
      </c>
    </row>
    <row r="16">
      <c r="A16" s="4" t="inlineStr">
        <is>
          <t>V4 hose</t>
        </is>
      </c>
      <c r="B16" s="4" t="inlineStr">
        <is>
          <t>10_Correspondence/10.1_TP-005_Ilmatek_Submissions/Period_10_—_December_2026/PDC-QUO-005-001_Ilmatek_EI-007_Quotation_2026-12-14.xlsx</t>
        </is>
      </c>
      <c r="C16" s="4" t="inlineStr">
        <is>
          <t>V4 Build-up</t>
        </is>
      </c>
      <c r="D16" s="4" t="inlineStr">
        <is>
          <t>row 7 / cell C7</t>
        </is>
      </c>
      <c r="E16" s="4" t="inlineStr">
        <is>
          <t>Flexible hose set and quick-disconnect couplings | supplier quote SF-2291 | 3,250</t>
        </is>
      </c>
    </row>
    <row r="17">
      <c r="A17" s="4" t="inlineStr">
        <is>
          <t>V4 labour</t>
        </is>
      </c>
      <c r="B17" s="4" t="inlineStr">
        <is>
          <t>10_Correspondence/10.1_TP-005_Ilmatek_Submissions/Period_10_—_December_2026/PDC-QUO-005-001_Ilmatek_EI-007_Quotation_2026-12-14.xlsx</t>
        </is>
      </c>
      <c r="C17" s="4" t="inlineStr">
        <is>
          <t>V4 Build-up</t>
        </is>
      </c>
      <c r="D17" s="4" t="inlineStr">
        <is>
          <t>row 8 / cell C8</t>
        </is>
      </c>
      <c r="E17" s="4" t="inlineStr">
        <is>
          <t>Installation labour, 14 h at EUR 68/h | subcontract labour rate | 952</t>
        </is>
      </c>
    </row>
    <row r="18">
      <c r="A18" s="4" t="inlineStr">
        <is>
          <t>V4 pressure test</t>
        </is>
      </c>
      <c r="B18" s="4" t="inlineStr">
        <is>
          <t>10_Correspondence/10.1_TP-005_Ilmatek_Submissions/Period_10_—_December_2026/PDC-QUO-005-001_Ilmatek_EI-007_Quotation_2026-12-14.xlsx</t>
        </is>
      </c>
      <c r="C18" s="4" t="inlineStr">
        <is>
          <t>V4 Build-up</t>
        </is>
      </c>
      <c r="D18" s="4" t="inlineStr">
        <is>
          <t>row 9 / cell C9</t>
        </is>
      </c>
      <c r="E18" s="4" t="inlineStr">
        <is>
          <t>Pressure test, flush and certification | measured allowance | 1,180</t>
        </is>
      </c>
    </row>
    <row r="19">
      <c r="A19" s="4" t="inlineStr">
        <is>
          <t>V4 sub-total per kit</t>
        </is>
      </c>
      <c r="B19" s="4" t="inlineStr">
        <is>
          <t>10_Correspondence/10.1_TP-005_Ilmatek_Submissions/Period_10_—_December_2026/PDC-QUO-005-001_Ilmatek_EI-007_Quotation_2026-12-14.xlsx</t>
        </is>
      </c>
      <c r="C19" s="4" t="inlineStr">
        <is>
          <t>V4 Build-up</t>
        </is>
      </c>
      <c r="D19" s="4" t="inlineStr">
        <is>
          <t>row 10 / cell C10</t>
        </is>
      </c>
      <c r="E19" s="4" t="inlineStr">
        <is>
          <t>Sub-total per kit | | 13,482 (cell holds numeric value 13482; sub's formula =SUM(C6:C9))</t>
        </is>
      </c>
    </row>
    <row r="20">
      <c r="A20" s="4" t="inlineStr">
        <is>
          <t>V4 contingency</t>
        </is>
      </c>
      <c r="B20" s="4" t="inlineStr">
        <is>
          <t>10_Correspondence/10.1_TP-005_Ilmatek_Submissions/Period_10_—_December_2026/PDC-QUO-005-001_Ilmatek_EI-007_Quotation_2026-12-14.xlsx</t>
        </is>
      </c>
      <c r="C20" s="4" t="inlineStr">
        <is>
          <t>V4 Build-up</t>
        </is>
      </c>
      <c r="D20" s="4" t="inlineStr">
        <is>
          <t>row 11 / cell C11</t>
        </is>
      </c>
      <c r="E20" s="4" t="inlineStr">
        <is>
          <t>Contingency at 9.4% | supplier lead-time risk | 1,268</t>
        </is>
      </c>
    </row>
    <row r="21">
      <c r="A21" s="4" t="inlineStr">
        <is>
          <t>V4 total per kit</t>
        </is>
      </c>
      <c r="B21" s="4" t="inlineStr">
        <is>
          <t>10_Correspondence/10.1_TP-005_Ilmatek_Submissions/Period_10_—_December_2026/PDC-QUO-005-001_Ilmatek_EI-007_Quotation_2026-12-14.xlsx</t>
        </is>
      </c>
      <c r="C21" s="4" t="inlineStr">
        <is>
          <t>V4 Build-up</t>
        </is>
      </c>
      <c r="D21" s="4" t="inlineStr">
        <is>
          <t>row 12 / cell C12</t>
        </is>
      </c>
      <c r="E21" s="4" t="inlineStr">
        <is>
          <t>TOTAL PER KIT | | 14,750 (sub's formula =C10+C11)</t>
        </is>
      </c>
    </row>
    <row r="22">
      <c r="A22" s="4" t="inlineStr">
        <is>
          <t>BoQ F.03 rate</t>
        </is>
      </c>
      <c r="B22" s="4" t="inlineStr">
        <is>
          <t>05_BOQ_and_Cost/PDC-BOQ-001_Bill_of_Quantities.xlsx</t>
        </is>
      </c>
      <c r="C22" s="4" t="inlineStr">
        <is>
          <t>F Mechanical</t>
        </is>
      </c>
      <c r="D22" s="4" t="inlineStr">
        <is>
          <t>row 8 / cell E8</t>
        </is>
      </c>
      <c r="E22" s="4" t="inlineStr">
        <is>
          <t>F.03 | CRAH units, 7 per hall (N+1) | nr | 28 | 80,057.06 (cell stores 80057.05628850675) | 2,241,597.58</t>
        </is>
      </c>
    </row>
    <row r="23">
      <c r="A23" s="4" t="inlineStr">
        <is>
          <t>BoQ F.06 rate</t>
        </is>
      </c>
      <c r="B23" s="4" t="inlineStr">
        <is>
          <t>05_BOQ_and_Cost/PDC-BOQ-001_Bill_of_Quantities.xlsx</t>
        </is>
      </c>
      <c r="C23" s="4" t="inlineStr">
        <is>
          <t>F Mechanical</t>
        </is>
      </c>
      <c r="D23" s="4" t="inlineStr">
        <is>
          <t>row 11 / cell E11</t>
        </is>
      </c>
      <c r="E23" s="4" t="inlineStr">
        <is>
          <t>F.06 | Chilled water pipework, welded and pre-insulated | m | 2,850 | 662.84 (cell stores 662.8379929263463) | 1,889,088.28</t>
        </is>
      </c>
    </row>
    <row r="24">
      <c r="A24" s="4" t="inlineStr">
        <is>
          <t>BoQ F.09 rate</t>
        </is>
      </c>
      <c r="B24" s="4" t="inlineStr">
        <is>
          <t>05_BOQ_and_Cost/PDC-BOQ-001_Bill_of_Quantities.xlsx</t>
        </is>
      </c>
      <c r="C24" s="4" t="inlineStr">
        <is>
          <t>F Mechanical</t>
        </is>
      </c>
      <c r="D24" s="4" t="inlineStr">
        <is>
          <t>row 14 / cell E14</t>
        </is>
      </c>
      <c r="E24" s="4" t="inlineStr">
        <is>
          <t>F.09 | Heat recovery pipework to site boundary chamber | m | 260 | 1,239.59 (cell stores 1239.593129628492) | 322,294.21</t>
        </is>
      </c>
    </row>
    <row r="25">
      <c r="A25" s="4" t="inlineStr">
        <is>
          <t>BoQ total Section F</t>
        </is>
      </c>
      <c r="B25" s="4" t="inlineStr">
        <is>
          <t>05_BOQ_and_Cost/PDC-BOQ-001_Bill_of_Quantities.xlsx</t>
        </is>
      </c>
      <c r="C25" s="4" t="inlineStr">
        <is>
          <t>F Mechanical</t>
        </is>
      </c>
      <c r="D25" s="4" t="inlineStr">
        <is>
          <t>row 19 / cell F19</t>
        </is>
      </c>
      <c r="E25" s="4" t="inlineStr">
        <is>
          <t>TOTAL SECTION F | 22,176,000</t>
        </is>
      </c>
    </row>
    <row r="26">
      <c r="A26" s="4" t="inlineStr">
        <is>
          <t>BoQ Section J tender package (Summary)</t>
        </is>
      </c>
      <c r="B26" s="4" t="inlineStr">
        <is>
          <t>05_BOQ_and_Cost/PDC-BOQ-001_Bill_of_Quantities.xlsx</t>
        </is>
      </c>
      <c r="C26" s="4" t="inlineStr">
        <is>
          <t>Summary</t>
        </is>
      </c>
      <c r="D26" s="4" t="inlineStr">
        <is>
          <t>row 15 / Tender Package col</t>
        </is>
      </c>
      <c r="E26" s="4" t="inlineStr">
        <is>
          <t>J | Commissioning &amp; Handover (L1-L5) | TP — main contract | 2,310,000 | 0.025</t>
        </is>
      </c>
    </row>
    <row r="27">
      <c r="A27" s="4" t="inlineStr">
        <is>
          <t>BoQ Accepted Contract Amount</t>
        </is>
      </c>
      <c r="B27" s="4" t="inlineStr">
        <is>
          <t>05_BOQ_and_Cost/PDC-BOQ-001_Bill_of_Quantities.xlsx</t>
        </is>
      </c>
      <c r="C27" s="4" t="inlineStr">
        <is>
          <t>Summary</t>
        </is>
      </c>
      <c r="D27" s="4" t="inlineStr">
        <is>
          <t>row after the last / Amount col</t>
        </is>
      </c>
      <c r="E27" s="4" t="inlineStr">
        <is>
          <t>ACCEPTED CONTRACT AMOUNT | 92,400,000</t>
        </is>
      </c>
    </row>
    <row r="28">
      <c r="A28" s="4" t="inlineStr">
        <is>
          <t>Lab extract F.03</t>
        </is>
      </c>
      <c r="B28" s="4" t="inlineStr">
        <is>
          <t>12_Progress_Reports/12.10_Period_10_—_December_2026/PDC-LAB-P10_Variation_Records_and_BOQ_Extract_Dec2026.xlsx</t>
        </is>
      </c>
      <c r="C28" s="4" t="inlineStr">
        <is>
          <t>BOQ Extract — Section F</t>
        </is>
      </c>
      <c r="D28" s="4" t="inlineStr">
        <is>
          <t>row 6 / cell E6</t>
        </is>
      </c>
      <c r="E28" s="4" t="inlineStr">
        <is>
          <t>F.03 | CRAH units, 7 per hall (N+1) | nr | 28 | 80,057.06 | 2,241,597.68</t>
        </is>
      </c>
    </row>
    <row r="29">
      <c r="A29" s="4" t="inlineStr">
        <is>
          <t>Lab extract F.06</t>
        </is>
      </c>
      <c r="B29" s="4" t="inlineStr">
        <is>
          <t>12_Progress_Reports/12.10_Period_10_—_December_2026/PDC-LAB-P10_Variation_Records_and_BOQ_Extract_Dec2026.xlsx</t>
        </is>
      </c>
      <c r="C29" s="4" t="inlineStr">
        <is>
          <t>BOQ Extract — Section F</t>
        </is>
      </c>
      <c r="D29" s="4" t="inlineStr">
        <is>
          <t>row 7 / cell E7</t>
        </is>
      </c>
      <c r="E29" s="4" t="inlineStr">
        <is>
          <t>F.06 | Chilled water pipework, welded and pre-insulated | m | 2,850 | 662.84 | 1,889,094.00</t>
        </is>
      </c>
    </row>
    <row r="30">
      <c r="A30" s="4" t="inlineStr">
        <is>
          <t>Lab extract F.09</t>
        </is>
      </c>
      <c r="B30" s="4" t="inlineStr">
        <is>
          <t>12_Progress_Reports/12.10_Period_10_—_December_2026/PDC-LAB-P10_Variation_Records_and_BOQ_Extract_Dec2026.xlsx</t>
        </is>
      </c>
      <c r="C30" s="4" t="inlineStr">
        <is>
          <t>BOQ Extract — Section F</t>
        </is>
      </c>
      <c r="D30" s="4" t="inlineStr">
        <is>
          <t>row 8 / cell E8</t>
        </is>
      </c>
      <c r="E30" s="4" t="inlineStr">
        <is>
          <t>F.09 | Heat recovery pipework to site boundary chamber | m | 260 | 1,239.59 | 322,293.40</t>
        </is>
      </c>
    </row>
    <row r="31">
      <c r="A31" s="4" t="inlineStr">
        <is>
          <t>V4 'no bill item' note</t>
        </is>
      </c>
      <c r="B31" s="4" t="inlineStr">
        <is>
          <t>12_Progress_Reports/12.10_Period_10_—_December_2026/PDC-LAB-P10_Variation_Records_and_BOQ_Extract_Dec2026.xlsx</t>
        </is>
      </c>
      <c r="C31" s="4" t="inlineStr">
        <is>
          <t>BOQ Extract — Section F</t>
        </is>
      </c>
      <c r="D31" s="4" t="inlineStr">
        <is>
          <t>row 11 / cell A11</t>
        </is>
      </c>
      <c r="E31" s="4" t="inlineStr">
        <is>
          <t>Note: there is no bill item for coolant distribution units. Liquid cooling was not in the Employer's Requirements at tender.</t>
        </is>
      </c>
    </row>
    <row r="32">
      <c r="A32" s="4" t="inlineStr">
        <is>
          <t>V5 'Section J priced to main contract' note</t>
        </is>
      </c>
      <c r="B32" s="4" t="inlineStr">
        <is>
          <t>12_Progress_Reports/12.10_Period_10_—_December_2026/PDC-LAB-P10_Variation_Records_and_BOQ_Extract_Dec2026.xlsx</t>
        </is>
      </c>
      <c r="C32" s="4" t="inlineStr">
        <is>
          <t>BOQ Extract — Section F</t>
        </is>
      </c>
      <c r="D32" s="4" t="inlineStr">
        <is>
          <t>row 10 / cell A10</t>
        </is>
      </c>
      <c r="E32" s="4" t="inlineStr">
        <is>
          <t>Note: Section J — Commissioning &amp; Handover — is priced to the MAIN CONTRACT, not to TP-005.</t>
        </is>
      </c>
    </row>
    <row r="33">
      <c r="A33" s="4" t="inlineStr">
        <is>
          <t>QS Measure — quantities agreed</t>
        </is>
      </c>
      <c r="B33" s="4" t="inlineStr">
        <is>
          <t>12_Progress_Reports/12.10_Period_10_—_December_2026/PDC-LAB-P10_Variation_Records_and_BOQ_Extract_Dec2026.xlsx</t>
        </is>
      </c>
      <c r="C33" s="4" t="inlineStr">
        <is>
          <t>QS Measure</t>
        </is>
      </c>
      <c r="D33" s="4" t="inlineStr">
        <is>
          <t>rows 6-9 / col E ('Agreed')</t>
        </is>
      </c>
      <c r="E33" s="4" t="inlineStr">
        <is>
          <t>V1 4 nr — Yes; V2 180 m — Yes; V3 40 m — Yes; V4 4 nr — Yes (quantities not in dispute)</t>
        </is>
      </c>
    </row>
    <row r="34">
      <c r="A34" s="4" t="inlineStr">
        <is>
          <t>Variation Register — EI-007 status</t>
        </is>
      </c>
      <c r="B34" s="4" t="inlineStr">
        <is>
          <t>12_Progress_Reports/12.10_Period_10_—_December_2026/PDC-LAB-P10_Variation_Records_and_BOQ_Extract_Dec2026.xlsx</t>
        </is>
      </c>
      <c r="C34" s="4" t="inlineStr">
        <is>
          <t>Variation Register</t>
        </is>
      </c>
      <c r="D34" s="4" t="inlineStr">
        <is>
          <t>row 8 / cells B8..F8</t>
        </is>
      </c>
      <c r="E34" s="4" t="inlineStr">
        <is>
          <t>EI-007 | DH4 high-density cooling provision | 2026-12-03 | Quotation received, not yet valued | 0</t>
        </is>
      </c>
    </row>
    <row r="35">
      <c r="A35" s="4" t="inlineStr">
        <is>
          <t>Programme Impact — EI-007 activities</t>
        </is>
      </c>
      <c r="B35" s="4" t="inlineStr">
        <is>
          <t>12_Progress_Reports/12.10_Period_10_—_December_2026/PDC-LAB-P10_Variation_Records_and_BOQ_Extract_Dec2026.xlsx</t>
        </is>
      </c>
      <c r="C35" s="4" t="inlineStr">
        <is>
          <t>Programme Impact</t>
        </is>
      </c>
      <c r="D35" s="4" t="inlineStr">
        <is>
          <t>rows 6-8 / cells A-E</t>
        </is>
      </c>
      <c r="E35" s="4" t="inlineStr">
        <is>
          <t>IL-1420 (DH4 CRAH install, 18 wd, 26 float, Not critical) | IL-1430 (DH4 pipework, 12 wd, 26 float, Not critical) | IL-1600 (DH1-DH4 mech commission, 45 wd, 0 float, Critical)</t>
        </is>
      </c>
    </row>
    <row r="36">
      <c r="A36" s="4" t="inlineStr">
        <is>
          <t>Programme Impact — no-EOT note</t>
        </is>
      </c>
      <c r="B36" s="4" t="inlineStr">
        <is>
          <t>12_Progress_Reports/12.10_Period_10_—_December_2026/PDC-LAB-P10_Variation_Records_and_BOQ_Extract_Dec2026.xlsx</t>
        </is>
      </c>
      <c r="C36" s="4" t="inlineStr">
        <is>
          <t>Programme Impact</t>
        </is>
      </c>
      <c r="D36" s="4" t="inlineStr">
        <is>
          <t>row 10 / cell A10</t>
        </is>
      </c>
      <c r="E36" s="4" t="inlineStr">
        <is>
          <t>the instructed work sits on activities carrying 26 wd of float and does not touch IL-1600 or the Time for Completion.</t>
        </is>
      </c>
    </row>
    <row r="37">
      <c r="A37" s="4" t="inlineStr">
        <is>
          <t>Programme Impact — EI-007 §5 note</t>
        </is>
      </c>
      <c r="B37" s="4" t="inlineStr">
        <is>
          <t>12_Progress_Reports/12.10_Period_10_—_December_2026/PDC-LAB-P10_Variation_Records_and_BOQ_Extract_Dec2026.xlsx</t>
        </is>
      </c>
      <c r="C37" s="4" t="inlineStr">
        <is>
          <t>Programme Impact</t>
        </is>
      </c>
      <c r="D37" s="4" t="inlineStr">
        <is>
          <t>row 11 / cell A11</t>
        </is>
      </c>
      <c r="E37" s="4" t="inlineStr">
        <is>
          <t>PDC-EI-007 paragraph 5 states the instruction does not extend the Time for Completion.</t>
        </is>
      </c>
    </row>
    <row r="38">
      <c r="A38" s="4" t="inlineStr">
        <is>
          <t>Section A total (Main Contract prem)</t>
        </is>
      </c>
      <c r="B38" s="4" t="inlineStr">
        <is>
          <t>05_BOQ_and_Cost/PDC-BOQ-001_Bill_of_Quantities.xlsx</t>
        </is>
      </c>
      <c r="C38" s="4" t="inlineStr">
        <is>
          <t>A Preliminaries &amp; General</t>
        </is>
      </c>
      <c r="D38" s="4" t="inlineStr">
        <is>
          <t>TOTAL SECTION A / Amount col</t>
        </is>
      </c>
      <c r="E38" s="4" t="inlineStr">
        <is>
          <t>TOTAL SECTION A | 6,006,000</t>
        </is>
      </c>
    </row>
    <row r="39">
      <c r="A39" s="4" t="inlineStr">
        <is>
          <t>EI-007 §2(d) 'new work' (verbatim)</t>
        </is>
      </c>
      <c r="B39" s="4" t="inlineStr">
        <is>
          <t>10_Correspondence/10.4_Employer's_Representative/PDC-EI-007_DH4_High_Density_Cooling_Instruction_2026-12-03.md</t>
        </is>
      </c>
      <c r="C39" s="4" t="inlineStr">
        <is>
          <t>§2</t>
        </is>
      </c>
      <c r="D39" s="4" t="inlineStr">
        <is>
          <t>verbatim</t>
        </is>
      </c>
      <c r="E39" s="4" t="inlineStr">
        <is>
          <t>Items (a) to (c) are of the same character as work already in the Contract. Item (d) is new: liquid cooling was not within the original Employer's Requirements.</t>
        </is>
      </c>
    </row>
    <row r="40">
      <c r="A40" s="4" t="inlineStr">
        <is>
          <t>EI-007 §3 28-day (verbatim)</t>
        </is>
      </c>
      <c r="B40" s="4" t="inlineStr">
        <is>
          <t>10_Correspondence/10.4_Employer's_Representative/PDC-EI-007_DH4_High_Density_Cooling_Instruction_2026-12-03.md</t>
        </is>
      </c>
      <c r="C40" s="4" t="inlineStr">
        <is>
          <t>§3</t>
        </is>
      </c>
      <c r="D40" s="4" t="inlineStr">
        <is>
          <t>verbatim</t>
        </is>
      </c>
      <c r="E40" s="4" t="inlineStr">
        <is>
          <t>3. The Contractor shall proceed with the instructed work without waiting for the value to be agreed. The Engineer will make an interim valuation within 28 days in accordance with Sub-Clause 13.3.1 as amended by SP-9 of the Particular Conditions (Rev C).</t>
        </is>
      </c>
    </row>
    <row r="41">
      <c r="A41" s="4" t="inlineStr">
        <is>
          <t>EI-007 §4 commissioning (verbatim)</t>
        </is>
      </c>
      <c r="B41" s="4" t="inlineStr">
        <is>
          <t>10_Correspondence/10.4_Employer's_Representative/PDC-EI-007_DH4_High_Density_Cooling_Instruction_2026-12-03.md</t>
        </is>
      </c>
      <c r="C41" s="4" t="inlineStr">
        <is>
          <t>§4</t>
        </is>
      </c>
      <c r="D41" s="4" t="inlineStr">
        <is>
          <t>verbatim</t>
        </is>
      </c>
      <c r="E41" s="4" t="inlineStr">
        <is>
          <t>4. Commissioning of the additional plant falls within the commissioning provision already in the Contract and is not to be re-priced under this instruction.</t>
        </is>
      </c>
    </row>
    <row r="42">
      <c r="A42" s="4" t="inlineStr">
        <is>
          <t>EI-007 §5 no EOT (verbatim)</t>
        </is>
      </c>
      <c r="B42" s="4" t="inlineStr">
        <is>
          <t>10_Correspondence/10.4_Employer's_Representative/PDC-EI-007_DH4_High_Density_Cooling_Instruction_2026-12-03.md</t>
        </is>
      </c>
      <c r="C42" s="4" t="inlineStr">
        <is>
          <t>§5</t>
        </is>
      </c>
      <c r="D42" s="4" t="inlineStr">
        <is>
          <t>verbatim</t>
        </is>
      </c>
      <c r="E42" s="4" t="inlineStr">
        <is>
          <t>5. This instruction does not extend the Time for Completion. The Contractor is to notify separately if it considers otherwise.</t>
        </is>
      </c>
    </row>
    <row r="43">
      <c r="A43" s="4" t="inlineStr">
        <is>
          <t>ILM-CLM-001 v2 §5.5 prior refusal of EUR 11,200/wk (verbatim)</t>
        </is>
      </c>
      <c r="B43" s="4" t="inlineStr">
        <is>
          <t>Outputs/PDC-ASS-001_ILM-CLM-001_Head_by_Head_Assessment_v2.md</t>
        </is>
      </c>
      <c r="C43" s="4" t="inlineStr">
        <is>
          <t>§5.5</t>
        </is>
      </c>
      <c r="D43" s="4" t="inlineStr">
        <is>
          <t>verbatim</t>
        </is>
      </c>
      <c r="E43" s="4" t="inlineStr">
        <is>
          <t>Ilmatek's claimed figure of EUR 114,000 is built from a tender site establishment allowance of EUR 11,200/week. We do not accept that figure — it is not derived from the labour records.</t>
        </is>
      </c>
    </row>
    <row r="44">
      <c r="A44" s="4" t="inlineStr">
        <is>
          <t>ILM-CLM-001 v6 §309 prior refusal (verbatim)</t>
        </is>
      </c>
      <c r="B44" s="4" t="inlineStr">
        <is>
          <t>Outputs/PDC-ASS-001_ILM-CLM-001_Head_by_Head_Assessment_v6.md</t>
        </is>
      </c>
      <c r="C44" s="4" t="inlineStr">
        <is>
          <t>§309</t>
        </is>
      </c>
      <c r="D44" s="4" t="inlineStr">
        <is>
          <t>verbatim</t>
        </is>
      </c>
      <c r="E44" s="4" t="inlineStr">
        <is>
          <t>EUR 11,200/week rate basis: Ilmatek's claim derives this from their tender site establishment allowance. It is not in our records. Not used as a basis for any head.</t>
        </is>
      </c>
    </row>
    <row r="45">
      <c r="A45" s="4" t="inlineStr">
        <is>
          <t>Subcontract Rev1 cover (verbatim)</t>
        </is>
      </c>
      <c r="B45" s="4" t="inlineStr">
        <is>
          <t>10_Correspondence/10.1_TP-005_Ilmatek_Submissions/PDC-SUB-005_Rev1_Ilmatek_TP-005_Subcontract.md</t>
        </is>
      </c>
      <c r="C45" s="4" t="inlineStr">
        <is>
          <t>cover / §1</t>
        </is>
      </c>
      <c r="D45" s="4" t="inlineStr">
        <is>
          <t>verbatim</t>
        </is>
      </c>
      <c r="E45" s="4" t="inlineStr">
        <is>
          <t>Supersedes: Revision 0 dated 8 April 2026; issued for execution; Rev0 is withdrawn.</t>
        </is>
      </c>
    </row>
    <row r="46">
      <c r="A46" s="4" t="inlineStr">
        <is>
          <t>Subcontract Rev1 Cl.7.1 (verbatim)</t>
        </is>
      </c>
      <c r="B46" s="4" t="inlineStr">
        <is>
          <t>10_Correspondence/10.1_TP-005_Ilmatek_Submissions/PDC-SUB-005_Rev1_Ilmatek_TP-005_Subcontract.md</t>
        </is>
      </c>
      <c r="C46" s="4" t="inlineStr">
        <is>
          <t>Part 2 Cl.7.1</t>
        </is>
      </c>
      <c r="D46" s="4" t="inlineStr">
        <is>
          <t>verbatim</t>
        </is>
      </c>
      <c r="E46" s="4" t="inlineStr">
        <is>
          <t>7.1 The Contractor may instruct variations to the Subcontract Works.</t>
        </is>
      </c>
    </row>
    <row r="47">
      <c r="A47" s="4" t="inlineStr">
        <is>
          <t>Subcontract Rev1 Cl.7.2 (verbatim)</t>
        </is>
      </c>
      <c r="B47" s="4" t="inlineStr">
        <is>
          <t>10_Correspondence/10.1_TP-005_Ilmatek_Submissions/PDC-SUB-005_Rev1_Ilmatek_TP-005_Subcontract.md</t>
        </is>
      </c>
      <c r="C47" s="4" t="inlineStr">
        <is>
          <t>Part 2 Cl.7.2</t>
        </is>
      </c>
      <c r="D47" s="4" t="inlineStr">
        <is>
          <t>verbatim</t>
        </is>
      </c>
      <c r="E47" s="4" t="inlineStr">
        <is>
          <t>7.2 The value of a variation shall be agreed between the parties.</t>
        </is>
      </c>
    </row>
    <row r="48">
      <c r="A48" s="4" t="inlineStr">
        <is>
          <t>Subcontract Rev1 Cl.7.3 (verbatim)</t>
        </is>
      </c>
      <c r="B48" s="4" t="inlineStr">
        <is>
          <t>10_Correspondence/10.1_TP-005_Ilmatek_Submissions/PDC-SUB-005_Rev1_Ilmatek_TP-005_Subcontract.md</t>
        </is>
      </c>
      <c r="C48" s="4" t="inlineStr">
        <is>
          <t>Part 2 Cl.7.3</t>
        </is>
      </c>
      <c r="D48" s="4" t="inlineStr">
        <is>
          <t>verbatim</t>
        </is>
      </c>
      <c r="E48" s="4" t="inlineStr">
        <is>
          <t>✎ 7.3 The Subcontractor shall commence execution of any instructed variation promptly on receipt of the instruction and shall not suspend or delay it pending agreement of its value. Where the value has not been agreed within 28 days, the Contractor shall make an interim valuation and certify that amount in the next payment, without prejudice to the final agreement or determination.</t>
        </is>
      </c>
    </row>
    <row r="49">
      <c r="A49" s="4" t="inlineStr">
        <is>
          <t>Main Contract RevC operative + SP-9 (verbatim)</t>
        </is>
      </c>
      <c r="B49" s="4" t="inlineStr">
        <is>
          <t>01_Contract_and_Commercial/PDC-PC-001_RevC_Particular_Conditions.docx</t>
        </is>
      </c>
      <c r="C49" s="4" t="inlineStr">
        <is>
          <t>signature block / SP-9</t>
        </is>
      </c>
      <c r="D49" s="4" t="inlineStr">
        <is>
          <t>verbatim</t>
        </is>
      </c>
      <c r="E49" s="4" t="inlineStr">
        <is>
          <t>Rev C, signed 24.02.2026; SP-9 amends Sub-Cl.13.3.1 to require 28-day interim valuation; proceed first.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2026-08-11T20:07:22Z</dcterms:created>
  <dcterms:modified xmlns:dcterms="http://purl.org/dc/terms/" xmlns:xsi="http://www.w3.org/2001/XMLSchema-instance" xsi:type="dcterms:W3CDTF">2026-08-11T20:07:22Z</dcterms:modified>
</cp:coreProperties>
</file>