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ctivity Progress" sheetId="2" state="visible" r:id="rId2"/>
    <sheet xmlns:r="http://schemas.openxmlformats.org/officeDocument/2006/relationships" name="EVM Summary" sheetId="3" state="visible" r:id="rId3"/>
    <sheet xmlns:r="http://schemas.openxmlformats.org/officeDocument/2006/relationships" name="Critical Path" sheetId="4" state="visible" r:id="rId4"/>
    <sheet xmlns:r="http://schemas.openxmlformats.org/officeDocument/2006/relationships" name="Conflict Log" sheetId="5" state="visible" r:id="rId5"/>
    <sheet xmlns:r="http://schemas.openxmlformats.org/officeDocument/2006/relationships" name="Open Check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2"/>
    </font>
    <font>
      <name val="Calibri"/>
      <b val="1"/>
      <sz val="1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B4F73"/>
      </patternFill>
    </fill>
    <fill>
      <patternFill patternType="solid">
        <fgColor rgb="00E6F4EA"/>
      </patternFill>
    </fill>
    <fill>
      <patternFill patternType="solid">
        <fgColor rgb="00FFF4E0"/>
      </patternFill>
    </fill>
    <fill>
      <patternFill patternType="solid">
        <fgColor rgb="00FCE8E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right" vertical="top" wrapText="1"/>
    </xf>
    <xf numFmtId="0" fontId="0" fillId="3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right" vertical="top" wrapText="1"/>
    </xf>
    <xf numFmtId="0" fontId="0" fillId="4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right" vertical="top" wrapText="1"/>
    </xf>
    <xf numFmtId="0" fontId="0" fillId="5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right" vertical="top" wrapText="1"/>
    </xf>
    <xf numFmtId="3" fontId="3" fillId="0" borderId="0" pivotButton="0" quotePrefix="0" xfId="0"/>
    <xf numFmtId="3" fontId="0" fillId="0" borderId="1" applyAlignment="1" pivotButton="0" quotePrefix="0" xfId="0">
      <alignment horizontal="right" vertical="top" wrapText="1"/>
    </xf>
    <xf numFmtId="164" fontId="0" fillId="0" borderId="1" applyAlignment="1" pivotButton="0" quotePrefix="0" xfId="0">
      <alignment horizontal="right" vertical="top" wrapText="1"/>
    </xf>
    <xf numFmtId="3" fontId="0" fillId="4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6" customWidth="1" min="1" max="1"/>
    <col width="72" customWidth="1" min="2" max="2"/>
  </cols>
  <sheetData>
    <row r="1">
      <c r="A1" s="1" t="inlineStr">
        <is>
          <t>Polaris DC-1 — Aviapolis Data Campus, Vantaa</t>
        </is>
      </c>
    </row>
    <row r="2">
      <c r="A2" s="2" t="inlineStr">
        <is>
          <t>Period 05 Progress Report — Supporting Schedule</t>
        </is>
      </c>
    </row>
    <row r="3">
      <c r="A3" t="inlineStr">
        <is>
          <t>Data date: 31 July 2026  ·  Reporting window: 01–31 July 2026</t>
        </is>
      </c>
    </row>
    <row r="4">
      <c r="A4" t="inlineStr">
        <is>
          <t>Issued for Project Manager's review</t>
        </is>
      </c>
    </row>
    <row r="8">
      <c r="A8" s="3" t="inlineStr">
        <is>
          <t>Source documents (every figure traceable to):</t>
        </is>
      </c>
    </row>
    <row r="9">
      <c r="A9" s="4" t="inlineStr">
        <is>
          <t>Source</t>
        </is>
      </c>
      <c r="B9" s="4" t="inlineStr">
        <is>
          <t>Use</t>
        </is>
      </c>
    </row>
    <row r="10">
      <c r="A10" s="5" t="inlineStr">
        <is>
          <t>PDC-BOQ-001 Rev A</t>
        </is>
      </c>
      <c r="B10" s="6" t="inlineStr">
        <is>
          <t>Bill of Quantities, accepted contract amount EUR 92,400,000</t>
        </is>
      </c>
    </row>
    <row r="11">
      <c r="A11" s="5" t="inlineStr">
        <is>
          <t>PDC-SCH-001 Rev0</t>
        </is>
      </c>
      <c r="B11" s="6" t="inlineStr">
        <is>
          <t>Kallio (TP-001) baseline programme</t>
        </is>
      </c>
    </row>
    <row r="12">
      <c r="A12" s="5" t="inlineStr">
        <is>
          <t>PDC-SCH-005 Rev2</t>
        </is>
      </c>
      <c r="B12" s="6" t="inlineStr">
        <is>
          <t>Ilmatek (TP-005) baseline programme — NOT YET ACCEPTED by PMC</t>
        </is>
      </c>
    </row>
    <row r="13">
      <c r="A13" s="5" t="inlineStr">
        <is>
          <t>PDC-SCH-008 Rev0</t>
        </is>
      </c>
      <c r="B13" s="6" t="inlineStr">
        <is>
          <t>Lehtinen (TP-008) baseline programme</t>
        </is>
      </c>
    </row>
    <row r="14">
      <c r="A14" s="5" t="inlineStr">
        <is>
          <t>PDC-MS-001 Rev A</t>
        </is>
      </c>
      <c r="B14" s="6" t="inlineStr">
        <is>
          <t>Milestone and Constraint Register</t>
        </is>
      </c>
    </row>
    <row r="15">
      <c r="A15" s="5" t="inlineStr">
        <is>
          <t>PDC-LT-001 Rev A</t>
        </is>
      </c>
      <c r="B15" s="6" t="inlineStr">
        <is>
          <t>Procurement Lead-Time Register</t>
        </is>
      </c>
    </row>
    <row r="16">
      <c r="A16" s="5" t="inlineStr">
        <is>
          <t>PDC-CAL-001 Rev A</t>
        </is>
      </c>
      <c r="B16" s="6" t="inlineStr">
        <is>
          <t>Working Calendar (Summer shutdown Wks 28–30)</t>
        </is>
      </c>
    </row>
    <row r="17">
      <c r="A17" s="5" t="inlineStr">
        <is>
          <t>PDC-PROG-001-P05</t>
        </is>
      </c>
      <c r="B17" s="6" t="inlineStr">
        <is>
          <t>Kallio Period 05 progress return</t>
        </is>
      </c>
    </row>
    <row r="18">
      <c r="A18" s="5" t="inlineStr">
        <is>
          <t>PDC-PROG-005-P05</t>
        </is>
      </c>
      <c r="B18" s="6" t="inlineStr">
        <is>
          <t>Ilmatek Period 05 progress return</t>
        </is>
      </c>
    </row>
    <row r="19">
      <c r="A19" s="5" t="inlineStr">
        <is>
          <t>PDC-PROG-008-P05</t>
        </is>
      </c>
      <c r="B19" s="6" t="inlineStr">
        <is>
          <t>Lehtinen Period 05 progress return</t>
        </is>
      </c>
    </row>
    <row r="20">
      <c r="A20" s="5" t="inlineStr">
        <is>
          <t>PDC-LAB-P05</t>
        </is>
      </c>
      <c r="B20" s="6" t="inlineStr">
        <is>
          <t>Site labour, plant &amp; QS measure, July 2026</t>
        </is>
      </c>
    </row>
    <row r="21">
      <c r="A21" s="5" t="inlineStr">
        <is>
          <t>PDC-MIN-P05</t>
        </is>
      </c>
      <c r="B21" s="6" t="inlineStr">
        <is>
          <t>Site Progress Meeting No. 5, 28 July 2026</t>
        </is>
      </c>
    </row>
    <row r="22">
      <c r="A22" s="5" t="inlineStr">
        <is>
          <t>PDC-LTR-PMC-011</t>
        </is>
      </c>
      <c r="B22" s="6" t="inlineStr">
        <is>
          <t>ER Period 05 letter, 30 July 2026</t>
        </is>
      </c>
    </row>
    <row r="23">
      <c r="A23" s="5" t="inlineStr">
        <is>
          <t>AI_Outputs/Programme_Compliance</t>
        </is>
      </c>
      <c r="B23" s="6" t="inlineStr">
        <is>
          <t>Programme Compliance review (TP-005 Rev2 findings)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4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  <col width="14" customWidth="1" min="12" max="12"/>
    <col width="14" customWidth="1" min="13" max="13"/>
    <col width="28" customWidth="1" min="14" max="14"/>
    <col width="60" customWidth="1" min="15" max="15"/>
  </cols>
  <sheetData>
    <row r="1">
      <c r="A1" s="4" t="inlineStr">
        <is>
          <t>Baseline ID</t>
        </is>
      </c>
      <c r="B1" s="4" t="inlineStr">
        <is>
          <t>Sub-Return ID</t>
        </is>
      </c>
      <c r="C1" s="4" t="inlineStr">
        <is>
          <t>Activity</t>
        </is>
      </c>
      <c r="D1" s="4" t="inlineStr">
        <is>
          <t>Sub-package</t>
        </is>
      </c>
      <c r="E1" s="4" t="inlineStr">
        <is>
          <t>BL Start</t>
        </is>
      </c>
      <c r="F1" s="4" t="inlineStr">
        <is>
          <t>BL Finish</t>
        </is>
      </c>
      <c r="G1" s="4" t="inlineStr">
        <is>
          <t>Actual Start</t>
        </is>
      </c>
      <c r="H1" s="4" t="inlineStr">
        <is>
          <t>Actual Finish</t>
        </is>
      </c>
      <c r="I1" s="4" t="inlineStr">
        <is>
          <t>Sub % cum</t>
        </is>
      </c>
      <c r="J1" s="4" t="inlineStr">
        <is>
          <t>QS % cum</t>
        </is>
      </c>
      <c r="K1" s="4" t="inlineStr">
        <is>
          <t>Agreed %</t>
        </is>
      </c>
      <c r="L1" s="4" t="inlineStr">
        <is>
          <t>BOQ Value (EUR)</t>
        </is>
      </c>
      <c r="M1" s="4" t="inlineStr">
        <is>
          <t>EV (EUR)</t>
        </is>
      </c>
      <c r="N1" s="4" t="inlineStr">
        <is>
          <t>Status</t>
        </is>
      </c>
      <c r="O1" s="4" t="inlineStr">
        <is>
          <t>Source / note</t>
        </is>
      </c>
    </row>
    <row r="2">
      <c r="A2" s="7" t="inlineStr">
        <is>
          <t>GW-1200</t>
        </is>
      </c>
      <c r="B2" s="8" t="inlineStr">
        <is>
          <t>—</t>
        </is>
      </c>
      <c r="C2" s="8" t="inlineStr">
        <is>
          <t>DH1 piling (Hall 1-2 / Hall 3-4) — pile-log quantum 41/68</t>
        </is>
      </c>
      <c r="D2" s="8" t="inlineStr">
        <is>
          <t>TP-001</t>
        </is>
      </c>
      <c r="E2" s="8" t="inlineStr">
        <is>
          <t>2026-06-14</t>
        </is>
      </c>
      <c r="F2" s="8" t="inlineStr">
        <is>
          <t>2026-08-25</t>
        </is>
      </c>
      <c r="G2" s="8" t="inlineStr">
        <is>
          <t>2026-06-14</t>
        </is>
      </c>
      <c r="H2" s="8" t="inlineStr"/>
      <c r="I2" s="8" t="n">
        <v>0.64</v>
      </c>
      <c r="J2" s="8" t="n">
        <v>0.6</v>
      </c>
      <c r="K2" s="8" t="n">
        <v>0.6</v>
      </c>
      <c r="L2" s="8" t="n">
        <v>370031.31</v>
      </c>
      <c r="M2" s="8">
        <f>K2*L2</f>
        <v/>
      </c>
      <c r="N2" s="8" t="inlineStr">
        <is>
          <t>ON TRACK — 60% QS (41/68)</t>
        </is>
      </c>
      <c r="O2" s="7" t="inlineStr">
        <is>
          <t>PDC-PROG-001-P05 pile log: 41 of 68 design; PDC-LAB-P05 QS concurs. 64% is time-elapsed. BOQ value B.06 (rock-socketed piling, 10 nr). EV = 60% × B.06.</t>
        </is>
      </c>
    </row>
    <row r="3">
      <c r="A3" s="9" t="inlineStr">
        <is>
          <t>B.04</t>
        </is>
      </c>
      <c r="B3" s="10" t="inlineStr">
        <is>
          <t>—</t>
        </is>
      </c>
      <c r="C3" s="10" t="inlineStr">
        <is>
          <t>Excavation of unrecorded made ground, NW corner (provisional)</t>
        </is>
      </c>
      <c r="D3" s="10" t="inlineStr">
        <is>
          <t>TP-001</t>
        </is>
      </c>
      <c r="E3" s="10" t="inlineStr">
        <is>
          <t>—</t>
        </is>
      </c>
      <c r="F3" s="10" t="inlineStr">
        <is>
          <t>—</t>
        </is>
      </c>
      <c r="G3" s="10" t="inlineStr">
        <is>
          <t>—</t>
        </is>
      </c>
      <c r="H3" s="10" t="inlineStr">
        <is>
          <t>—</t>
        </is>
      </c>
      <c r="I3" s="10" t="n">
        <v>0</v>
      </c>
      <c r="J3" s="10" t="n">
        <v>0</v>
      </c>
      <c r="K3" s="10" t="n">
        <v>0</v>
      </c>
      <c r="L3" s="10" t="n">
        <v>102762.98</v>
      </c>
      <c r="M3" s="10">
        <f>K3*L3</f>
        <v/>
      </c>
      <c r="N3" s="10" t="inlineStr">
        <is>
          <t>RESERVATION — NOT INSTRUCTED</t>
        </is>
      </c>
      <c r="O3" s="9" t="inlineStr">
        <is>
          <t>BOQ B.04 (PDC-BOQ-001 Rev A) — 1,620 m³ @ EUR 63.43. PROVISIONAL — Kallio reservation N-05 (time and cost). NOT yet instructed. Action A05-03 awaiting PMC/ER instruction.</t>
        </is>
      </c>
    </row>
    <row r="4">
      <c r="A4" s="9" t="inlineStr">
        <is>
          <t>GW-1300</t>
        </is>
      </c>
      <c r="B4" s="10" t="inlineStr">
        <is>
          <t>55</t>
        </is>
      </c>
      <c r="C4" s="10" t="inlineStr">
        <is>
          <t>DH2 pile caps and ground beams</t>
        </is>
      </c>
      <c r="D4" s="10" t="inlineStr">
        <is>
          <t>TP-001</t>
        </is>
      </c>
      <c r="E4" s="10" t="inlineStr">
        <is>
          <t>2026-07-02</t>
        </is>
      </c>
      <c r="F4" s="10" t="inlineStr">
        <is>
          <t>2026-07-26</t>
        </is>
      </c>
      <c r="G4" s="10" t="inlineStr">
        <is>
          <t>2026-07-04</t>
        </is>
      </c>
      <c r="H4" s="10" t="inlineStr">
        <is>
          <t>2026-07-28</t>
        </is>
      </c>
      <c r="I4" s="10" t="n">
        <v>1</v>
      </c>
      <c r="J4" s="10" t="n">
        <v>1</v>
      </c>
      <c r="K4" s="10" t="n">
        <v>1</v>
      </c>
      <c r="L4" s="10" t="n">
        <v>630714.6</v>
      </c>
      <c r="M4" s="10">
        <f>K4*L4</f>
        <v/>
      </c>
      <c r="N4" s="10" t="inlineStr">
        <is>
          <t>SLIPPED 2 DAYS — Kallio supply-chain risk</t>
        </is>
      </c>
      <c r="O4" s="9" t="inlineStr">
        <is>
          <t>PDC-PROG-001-P05 row 55 'Completed 28.07.2026 (2 days later than programme)'; cause 22.07 concrete supply failure at Rudus Vantaa (Kallio N-04). Kallio supply-chain risk under PDC-SUB-001 Rev0. No claim lodged in P05. EV = 5% of B.07 reflects ongoing Halls 3-4 pile caps not started.</t>
        </is>
      </c>
    </row>
    <row r="5">
      <c r="A5" s="11" t="inlineStr">
        <is>
          <t>GW-1310</t>
        </is>
      </c>
      <c r="B5" s="12" t="inlineStr">
        <is>
          <t>—</t>
        </is>
      </c>
      <c r="C5" s="12" t="inlineStr">
        <is>
          <t>Halls 3-4 pile caps and ground beams</t>
        </is>
      </c>
      <c r="D5" s="12" t="inlineStr">
        <is>
          <t>TP-001</t>
        </is>
      </c>
      <c r="E5" s="12" t="inlineStr">
        <is>
          <t>2026-08-10</t>
        </is>
      </c>
      <c r="F5" s="12" t="inlineStr">
        <is>
          <t>2026-09-15</t>
        </is>
      </c>
      <c r="G5" s="12" t="inlineStr">
        <is>
          <t>—</t>
        </is>
      </c>
      <c r="H5" s="12" t="inlineStr">
        <is>
          <t>—</t>
        </is>
      </c>
      <c r="I5" s="12" t="n">
        <v>0</v>
      </c>
      <c r="J5" s="12" t="n">
        <v>0</v>
      </c>
      <c r="K5" s="12" t="n">
        <v>0</v>
      </c>
      <c r="L5" s="12" t="n">
        <v>0</v>
      </c>
      <c r="M5" s="12">
        <f>K5*L5</f>
        <v/>
      </c>
      <c r="N5" s="12" t="inlineStr">
        <is>
          <t>NOT STARTED — CRITICAL PATH</t>
        </is>
      </c>
      <c r="O5" s="11" t="inlineStr">
        <is>
          <t>Linked off GW-1200. Critical path. Start currently scheduled W32.</t>
        </is>
      </c>
    </row>
    <row r="6">
      <c r="A6" s="11" t="inlineStr">
        <is>
          <t>GW-1500</t>
        </is>
      </c>
      <c r="B6" s="12" t="inlineStr">
        <is>
          <t>59</t>
        </is>
      </c>
      <c r="C6" s="12" t="inlineStr">
        <is>
          <t>DH2 foundation waterproofing</t>
        </is>
      </c>
      <c r="D6" s="12" t="inlineStr">
        <is>
          <t>TP-001</t>
        </is>
      </c>
      <c r="E6" s="12" t="inlineStr">
        <is>
          <t>2026-07-27</t>
        </is>
      </c>
      <c r="F6" s="12" t="inlineStr">
        <is>
          <t>2026-08-12</t>
        </is>
      </c>
      <c r="G6" s="12" t="inlineStr">
        <is>
          <t>—</t>
        </is>
      </c>
      <c r="H6" s="12" t="inlineStr">
        <is>
          <t>—</t>
        </is>
      </c>
      <c r="I6" s="12" t="n">
        <v>0</v>
      </c>
      <c r="J6" s="12" t="n">
        <v>0</v>
      </c>
      <c r="K6" s="12" t="n">
        <v>0</v>
      </c>
      <c r="L6" s="12" t="n">
        <v>159491.05</v>
      </c>
      <c r="M6" s="12">
        <f>K6*L6</f>
        <v/>
      </c>
      <c r="N6" s="12" t="inlineStr">
        <is>
          <t>NOT STARTED — Kallio risk (propagated)</t>
        </is>
      </c>
      <c r="O6" s="11" t="inlineStr">
        <is>
          <t>PDC-LAB-P05 QS Site Measure: 'NOT COMMENCED at 31.07. Access to DH2 caps only released 29.07.' Root cause: F-S link from GW-1300. Propagated Kallio risk. Now programmed W/c 03.08.</t>
        </is>
      </c>
    </row>
    <row r="7">
      <c r="A7" s="9" t="inlineStr">
        <is>
          <t>GW-1200</t>
        </is>
      </c>
      <c r="B7" s="10" t="inlineStr">
        <is>
          <t>—</t>
        </is>
      </c>
      <c r="C7" s="10" t="inlineStr">
        <is>
          <t>Piling rig 2 (Junttan PM20) — mechanical delay</t>
        </is>
      </c>
      <c r="D7" s="10" t="inlineStr">
        <is>
          <t>TP-001</t>
        </is>
      </c>
      <c r="E7" s="10" t="inlineStr">
        <is>
          <t>2026-07-13</t>
        </is>
      </c>
      <c r="F7" s="10" t="inlineStr">
        <is>
          <t>2026-07-15</t>
        </is>
      </c>
      <c r="G7" s="10" t="inlineStr">
        <is>
          <t>2026-07-13</t>
        </is>
      </c>
      <c r="H7" s="10" t="inlineStr">
        <is>
          <t>2026-07-15</t>
        </is>
      </c>
      <c r="I7" s="10" t="n">
        <v>0</v>
      </c>
      <c r="J7" s="10" t="n">
        <v>0</v>
      </c>
      <c r="K7" s="10" t="n">
        <v>0</v>
      </c>
      <c r="L7" s="10" t="n">
        <v>0</v>
      </c>
      <c r="M7" s="10">
        <f>K7*L7</f>
        <v/>
      </c>
      <c r="N7" s="10" t="inlineStr">
        <is>
          <t>DELAY EVENT — Kallio plant risk</t>
        </is>
      </c>
      <c r="O7" s="9" t="inlineStr">
        <is>
          <t>PDC-PROG-001-P05 N-02: 'hydraulic failure. Off hire 13.07–15.07 inclusive. Parts ex Tampere. Rig returned to service 16.07.' PDC-LAB-P05 Plant returns concurs. Kallio plant risk; no EoT claim lodged.</t>
        </is>
      </c>
    </row>
    <row r="8">
      <c r="A8" s="11" t="inlineStr">
        <is>
          <t>IL-1400</t>
        </is>
      </c>
      <c r="B8" s="12" t="inlineStr">
        <is>
          <t>118</t>
        </is>
      </c>
      <c r="C8" s="12" t="inlineStr">
        <is>
          <t>Chilled water primary spine — pipework (F.06)</t>
        </is>
      </c>
      <c r="D8" s="12" t="inlineStr">
        <is>
          <t>TP-005</t>
        </is>
      </c>
      <c r="E8" s="12" t="inlineStr">
        <is>
          <t>2026-06-15</t>
        </is>
      </c>
      <c r="F8" s="12" t="inlineStr">
        <is>
          <t>2026-10-12</t>
        </is>
      </c>
      <c r="G8" s="12" t="inlineStr">
        <is>
          <t>2026-06-22</t>
        </is>
      </c>
      <c r="H8" s="12" t="inlineStr"/>
      <c r="I8" s="12" t="n">
        <v>0.12</v>
      </c>
      <c r="J8" s="12" t="n">
        <v>0.05</v>
      </c>
      <c r="K8" s="12" t="n">
        <v>0.05</v>
      </c>
      <c r="L8" s="12" t="n">
        <v>1889088.28</v>
      </c>
      <c r="M8" s="12">
        <f>K8*L8</f>
        <v/>
      </c>
      <c r="N8" s="12" t="inlineStr">
        <is>
          <t>DENIED — 5% QS vs 12% offsite claim</t>
        </is>
      </c>
      <c r="O8" s="11" t="inlineStr">
        <is>
          <t>PDC-PROG-005-P05 row 118: 12% offsite prefab; PDC-LAB-P05 QS: 5% on-site. Governing: QS 5%. PDC-SUB-005 Rev1 Cl. 4.7; tender Q7 did not survive Rev1. Rev2 baseline NOT YET ACCEPTED.</t>
        </is>
      </c>
    </row>
    <row r="9">
      <c r="A9" s="5" t="inlineStr">
        <is>
          <t>IL-1200</t>
        </is>
      </c>
      <c r="B9" s="6" t="inlineStr">
        <is>
          <t>—</t>
        </is>
      </c>
      <c r="C9" s="6" t="inlineStr">
        <is>
          <t>Chillers — order and manufacture (F.01)</t>
        </is>
      </c>
      <c r="D9" s="6" t="inlineStr">
        <is>
          <t>TP-005</t>
        </is>
      </c>
      <c r="E9" s="6" t="inlineStr">
        <is>
          <t>2026-04-01</t>
        </is>
      </c>
      <c r="F9" s="6" t="inlineStr">
        <is>
          <t>2026-08-08</t>
        </is>
      </c>
      <c r="G9" s="6" t="inlineStr">
        <is>
          <t>—</t>
        </is>
      </c>
      <c r="H9" s="6" t="inlineStr">
        <is>
          <t>—</t>
        </is>
      </c>
      <c r="I9" s="6" t="n">
        <v>0</v>
      </c>
      <c r="J9" s="6" t="n">
        <v>0</v>
      </c>
      <c r="K9" s="6" t="n">
        <v>0</v>
      </c>
      <c r="L9" s="6" t="n">
        <v>2189947.86</v>
      </c>
      <c r="M9" s="6">
        <f>K9*L9</f>
        <v/>
      </c>
      <c r="N9" s="6" t="inlineStr">
        <is>
          <t>PROCUREMENT — no on-site</t>
        </is>
      </c>
      <c r="O9" s="5" t="inlineStr">
        <is>
          <t>Order placed per PDC-LT-001 LT-01 (need-by 2026-09-15). Process tracking not quantified for P05.</t>
        </is>
      </c>
    </row>
    <row r="10">
      <c r="A10" s="11" t="inlineStr">
        <is>
          <t>IL-1500</t>
        </is>
      </c>
      <c r="B10" s="12" t="inlineStr">
        <is>
          <t>140</t>
        </is>
      </c>
      <c r="C10" s="12" t="inlineStr">
        <is>
          <t>DH1 Chiller installation &amp; piping</t>
        </is>
      </c>
      <c r="D10" s="12" t="inlineStr">
        <is>
          <t>TP-005</t>
        </is>
      </c>
      <c r="E10" s="12" t="inlineStr">
        <is>
          <t>2026-09-01</t>
        </is>
      </c>
      <c r="F10" s="12" t="inlineStr">
        <is>
          <t>2026-11-21</t>
        </is>
      </c>
      <c r="G10" s="12" t="inlineStr">
        <is>
          <t>—</t>
        </is>
      </c>
      <c r="H10" s="12" t="inlineStr">
        <is>
          <t>—</t>
        </is>
      </c>
      <c r="I10" s="12" t="n">
        <v>0</v>
      </c>
      <c r="J10" s="12" t="n">
        <v>0</v>
      </c>
      <c r="K10" s="12" t="n">
        <v>0</v>
      </c>
      <c r="L10" s="12" t="n">
        <v>0</v>
      </c>
      <c r="M10" s="12">
        <f>K10*L10</f>
        <v/>
      </c>
      <c r="N10" s="12" t="inlineStr">
        <is>
          <t>AWAITING DH1 SLAB</t>
        </is>
      </c>
      <c r="O10" s="11" t="inlineStr">
        <is>
          <t>PDC-PROG-005-P05 row 140: 'Not started — awaits DH1 slab'. Logic consistent with Kallio GW-1300 dependency.</t>
        </is>
      </c>
    </row>
    <row r="11">
      <c r="A11" s="7" t="inlineStr">
        <is>
          <t>I.01</t>
        </is>
      </c>
      <c r="B11" s="8" t="inlineStr">
        <is>
          <t>200</t>
        </is>
      </c>
      <c r="C11" s="8" t="inlineStr">
        <is>
          <t>Access roads &amp; parking construction (part of I.01)</t>
        </is>
      </c>
      <c r="D11" s="8" t="inlineStr">
        <is>
          <t>TP-008</t>
        </is>
      </c>
      <c r="E11" s="8" t="inlineStr">
        <is>
          <t>2026-07-01</t>
        </is>
      </c>
      <c r="F11" s="8" t="inlineStr">
        <is>
          <t>2026-09-30</t>
        </is>
      </c>
      <c r="G11" s="8" t="inlineStr">
        <is>
          <t>2026-07-01</t>
        </is>
      </c>
      <c r="H11" s="8" t="inlineStr"/>
      <c r="I11" s="8" t="n">
        <v>0.4</v>
      </c>
      <c r="J11" s="8" t="n">
        <v>0.4</v>
      </c>
      <c r="K11" s="8" t="n">
        <v>0.4</v>
      </c>
      <c r="L11" s="8" t="n">
        <v>877247.74</v>
      </c>
      <c r="M11" s="8">
        <f>K11*L11</f>
        <v/>
      </c>
      <c r="N11" s="8" t="inlineStr">
        <is>
          <t>AHEAD OF PROGRAMME</t>
        </is>
      </c>
      <c r="O11" s="7" t="inlineStr">
        <is>
          <t>PDC-PROG-008-P05 row 200: 40% sub-base complete to main gate. PDC-LAB-P05 QS: 40% agrees.</t>
        </is>
      </c>
    </row>
    <row r="12">
      <c r="A12" s="7" t="inlineStr">
        <is>
          <t>GW-2000</t>
        </is>
      </c>
      <c r="B12" s="8" t="inlineStr">
        <is>
          <t>202</t>
        </is>
      </c>
      <c r="C12" s="8" t="inlineStr">
        <is>
          <t>Perimeter fencing &amp; gates (I.02)</t>
        </is>
      </c>
      <c r="D12" s="8" t="inlineStr">
        <is>
          <t>TP-008</t>
        </is>
      </c>
      <c r="E12" s="8" t="inlineStr">
        <is>
          <t>2026-08-17</t>
        </is>
      </c>
      <c r="F12" s="8" t="inlineStr">
        <is>
          <t>2026-10-10</t>
        </is>
      </c>
      <c r="G12" s="8" t="inlineStr">
        <is>
          <t>—</t>
        </is>
      </c>
      <c r="H12" s="8" t="inlineStr">
        <is>
          <t>—</t>
        </is>
      </c>
      <c r="I12" s="8" t="n">
        <v>0</v>
      </c>
      <c r="J12" s="8" t="n">
        <v>0</v>
      </c>
      <c r="K12" s="8" t="n">
        <v>0</v>
      </c>
      <c r="L12" s="8" t="n">
        <v>472765.84</v>
      </c>
      <c r="M12" s="8">
        <f>K12*L12</f>
        <v/>
      </c>
      <c r="N12" s="8" t="inlineStr">
        <is>
          <t>ON PROGRAMME</t>
        </is>
      </c>
      <c r="O12" s="7" t="inlineStr">
        <is>
          <t>Starts 17.08 per programme. Posts delivered 29.07. On programme.</t>
        </is>
      </c>
    </row>
    <row r="13">
      <c r="A13" s="9" t="inlineStr">
        <is>
          <t>I.01</t>
        </is>
      </c>
      <c r="B13" s="10" t="inlineStr">
        <is>
          <t>—</t>
        </is>
      </c>
      <c r="C13" s="10" t="inlineStr">
        <is>
          <t>NE car park construction (part of I.01)</t>
        </is>
      </c>
      <c r="D13" s="10" t="inlineStr">
        <is>
          <t>TP-008</t>
        </is>
      </c>
      <c r="E13" s="10" t="inlineStr">
        <is>
          <t>—</t>
        </is>
      </c>
      <c r="F13" s="10" t="inlineStr">
        <is>
          <t>—</t>
        </is>
      </c>
      <c r="G13" s="10" t="inlineStr">
        <is>
          <t>—</t>
        </is>
      </c>
      <c r="H13" s="10" t="inlineStr">
        <is>
          <t>—</t>
        </is>
      </c>
      <c r="I13" s="10" t="n">
        <v>0</v>
      </c>
      <c r="J13" s="10" t="n">
        <v>0</v>
      </c>
      <c r="K13" s="10" t="n">
        <v>0</v>
      </c>
      <c r="L13" s="10" t="n">
        <v>0</v>
      </c>
      <c r="M13" s="10">
        <f>K13*L13</f>
        <v/>
      </c>
      <c r="N13" s="10" t="inlineStr">
        <is>
          <t>BLOCKED — R-09 TMP relocation (Employer risk)</t>
        </is>
      </c>
      <c r="O13" s="9" t="inlineStr">
        <is>
          <t>Blocked by temporary parking compound still in use. Employer-side internal site logistics. Owner: Logistics (TL). No date committed.</t>
        </is>
      </c>
    </row>
    <row r="14">
      <c r="A14" s="11" t="inlineStr">
        <is>
          <t>ST-1310</t>
        </is>
      </c>
      <c r="B14" s="12" t="inlineStr">
        <is>
          <t>—</t>
        </is>
      </c>
      <c r="C14" s="12" t="inlineStr">
        <is>
          <t>Substation/switchgear building — precast erection</t>
        </is>
      </c>
      <c r="D14" s="12" t="inlineStr">
        <is>
          <t>TP-002</t>
        </is>
      </c>
      <c r="E14" s="12" t="inlineStr">
        <is>
          <t>2026-11-02</t>
        </is>
      </c>
      <c r="F14" s="12" t="inlineStr">
        <is>
          <t>2026-11-25</t>
        </is>
      </c>
      <c r="G14" s="12" t="inlineStr">
        <is>
          <t>—</t>
        </is>
      </c>
      <c r="H14" s="12" t="inlineStr">
        <is>
          <t>—</t>
        </is>
      </c>
      <c r="I14" s="12" t="n">
        <v>0</v>
      </c>
      <c r="J14" s="12" t="n">
        <v>0</v>
      </c>
      <c r="K14" s="12" t="n">
        <v>0</v>
      </c>
      <c r="L14" s="12" t="n">
        <v>0</v>
      </c>
      <c r="M14" s="12">
        <f>K14*L14</f>
        <v/>
      </c>
      <c r="N14" s="12" t="inlineStr">
        <is>
          <t>AT RISK — Employer risk (110 kV review)</t>
        </is>
      </c>
      <c r="O14" s="11" t="inlineStr">
        <is>
          <t>Crane operates within 110 kV overhead-line exclusion zone — DNO written permission required. 110 kV outage window under review (CD-05). Owner: PMC / Design.</t>
        </is>
      </c>
    </row>
    <row r="15">
      <c r="A15" s="7" t="inlineStr">
        <is>
          <t>MS-06</t>
        </is>
      </c>
      <c r="B15" s="8" t="inlineStr">
        <is>
          <t>—</t>
        </is>
      </c>
      <c r="C15" s="8" t="inlineStr">
        <is>
          <t>Section 1 — Sectional Completion (Hall 1-2 ops-ready)</t>
        </is>
      </c>
      <c r="D15" s="8" t="inlineStr">
        <is>
          <t>TP — main</t>
        </is>
      </c>
      <c r="E15" s="8" t="inlineStr">
        <is>
          <t>2027-05-02</t>
        </is>
      </c>
      <c r="F15" s="8" t="inlineStr">
        <is>
          <t>2027-05-02</t>
        </is>
      </c>
      <c r="G15" s="8" t="inlineStr">
        <is>
          <t>—</t>
        </is>
      </c>
      <c r="H15" s="8" t="inlineStr">
        <is>
          <t>—</t>
        </is>
      </c>
      <c r="I15" s="8" t="n">
        <v>0</v>
      </c>
      <c r="J15" s="8" t="n">
        <v>0</v>
      </c>
      <c r="K15" s="8" t="n">
        <v>0</v>
      </c>
      <c r="L15" s="8" t="n">
        <v>0</v>
      </c>
      <c r="M15" s="8">
        <f>K15*L15</f>
        <v/>
      </c>
      <c r="N15" s="8" t="inlineStr">
        <is>
          <t>FORECAST-MET — 0 days float on DH2 chain</t>
        </is>
      </c>
      <c r="O15" s="7" t="inlineStr">
        <is>
          <t>PDC-SC-001 / PDC-MS-001. Contractual date 2027-05-02. LDs EUR 18,000/day. Forecast-met at month-end. 0 working days float. Any further loss on GW-1200 is direct on completion date.</t>
        </is>
      </c>
    </row>
    <row r="17">
      <c r="A17" s="3" t="inlineStr">
        <is>
          <t>TOTALS — Earned Value</t>
        </is>
      </c>
      <c r="L17" s="13">
        <f>SUM(L2:L15)</f>
        <v/>
      </c>
      <c r="M17" s="13">
        <f>SUM(M2:M15)</f>
        <v/>
      </c>
      <c r="N17" t="inlineStr">
        <is>
          <t>EV % of this report's baseline-scope activities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70" customWidth="1" min="3" max="3"/>
  </cols>
  <sheetData>
    <row r="1">
      <c r="A1" s="2" t="inlineStr">
        <is>
          <t>EARNED VALUE MANAGEMENT — Period 05 (Data date 31.07.2026)</t>
        </is>
      </c>
    </row>
    <row r="3">
      <c r="A3" s="4" t="inlineStr">
        <is>
          <t>Metric</t>
        </is>
      </c>
      <c r="B3" s="4" t="inlineStr">
        <is>
          <t>Value (EUR)</t>
        </is>
      </c>
      <c r="C3" s="4" t="inlineStr">
        <is>
          <t>Basis / source</t>
        </is>
      </c>
    </row>
    <row r="4">
      <c r="A4" s="5" t="inlineStr">
        <is>
          <t>Budget at Completion (BAC)</t>
        </is>
      </c>
      <c r="B4" s="14" t="n">
        <v>92400000</v>
      </c>
      <c r="C4" s="6" t="inlineStr">
        <is>
          <t>PDC-BOQ-001 Rev A: Accepted Contract Amount (Summary sheet).</t>
        </is>
      </c>
    </row>
    <row r="5">
      <c r="A5" s="5" t="inlineStr">
        <is>
          <t>Planned Value to date (PV)</t>
        </is>
      </c>
      <c r="B5" s="14" t="n">
        <v>3302068</v>
      </c>
      <c r="C5" s="6" t="inlineStr">
        <is>
          <t>Derived: Section A prelims straight-line (5/22 months) + planned Section B (B.01-3 100%, B.06 64%, B.07 12%) + Section F (IL-1400 10%) + Section I (I.01 30%).</t>
        </is>
      </c>
    </row>
    <row r="6">
      <c r="A6" s="5" t="inlineStr">
        <is>
          <t>Earned Value to date (EV)</t>
        </is>
      </c>
      <c r="B6" s="14" t="n">
        <v>3236387</v>
      </c>
      <c r="C6" s="6" t="inlineStr">
        <is>
          <t>Derived: Section A prelims (5/22 months) + Section B (B.01-3 100%, B.06 60% [QS] + B.07 5%) + Section F (IL-1400 5% [QS]) + Section I (I.01 40%).</t>
        </is>
      </c>
    </row>
    <row r="7">
      <c r="A7" s="5" t="inlineStr">
        <is>
          <t>Actual Cost to date (AC)</t>
        </is>
      </c>
      <c r="B7" s="14" t="n">
        <v>3765800</v>
      </c>
      <c r="C7" s="6" t="inlineStr">
        <is>
          <t>Section A prelims 30% cost-to-date EUR 1,801,800 + Kallio IV-005 cumulative EUR 1,612,000 + Ilmatek EUR 0 + Lehtinen EUR 352,000 (accepted interim).</t>
        </is>
      </c>
    </row>
    <row r="8">
      <c r="A8" s="5" t="inlineStr">
        <is>
          <t>Schedule Variance (SV = EV−PV)</t>
        </is>
      </c>
      <c r="B8" s="14" t="n">
        <v>-65681</v>
      </c>
      <c r="C8" s="6" t="inlineStr">
        <is>
          <t>Negative — programme is EUR 65,681 behind plan at month-end.</t>
        </is>
      </c>
    </row>
    <row r="9">
      <c r="A9" s="5" t="inlineStr">
        <is>
          <t>Cost Variance (CV = EV−AC)</t>
        </is>
      </c>
      <c r="B9" s="14" t="n">
        <v>-529413</v>
      </c>
      <c r="C9" s="6" t="inlineStr">
        <is>
          <t>Negative — programme is EUR 529,413 over cost budget at month-end. Skewed by Section A prelims cost-to-date profile.</t>
        </is>
      </c>
    </row>
    <row r="10">
      <c r="A10" s="5" t="inlineStr">
        <is>
          <t>SPI (EV/PV)</t>
        </is>
      </c>
      <c r="B10" s="15" t="n">
        <v>0.98</v>
      </c>
      <c r="C10" s="6" t="inlineStr">
        <is>
          <t>Schedule performance index 0.98 — on plan this period.</t>
        </is>
      </c>
    </row>
    <row r="11">
      <c r="A11" s="5" t="inlineStr">
        <is>
          <t>CPI (EV/AC)</t>
        </is>
      </c>
      <c r="B11" s="15" t="n">
        <v>0.859</v>
      </c>
      <c r="C11" s="6" t="inlineStr">
        <is>
          <t>Cost performance index 0.86 — over (driven by Section A prelims profile, not project overrun).</t>
        </is>
      </c>
    </row>
    <row r="12">
      <c r="A12" s="5" t="inlineStr">
        <is>
          <t>EAC (formal = AC + (BAC−EV)/CPI)</t>
        </is>
      </c>
      <c r="B12" s="14" t="n">
        <v>107514938</v>
      </c>
      <c r="C12" s="6" t="inlineStr">
        <is>
          <t>Straight-line CPI projection. NOT a PM judgement.</t>
        </is>
      </c>
    </row>
    <row r="13">
      <c r="A13" s="9" t="inlineStr">
        <is>
          <t>VAC (formal = BAC − formal EAC)</t>
        </is>
      </c>
      <c r="B13" s="16" t="n">
        <v>-15114938</v>
      </c>
      <c r="C13" s="10" t="inlineStr">
        <is>
          <t>Negative — assumes CPI persists for full project.</t>
        </is>
      </c>
    </row>
    <row r="14">
      <c r="A14" s="5" t="inlineStr">
        <is>
          <t>PM manual EAC (current view)</t>
        </is>
      </c>
      <c r="B14" s="14" t="n">
        <v>92400000</v>
      </c>
      <c r="C14" s="6" t="inlineStr">
        <is>
          <t>PM judgement: PM EAC held at BAC. No uplift warranted. CPI driver is structural.</t>
        </is>
      </c>
    </row>
    <row r="15">
      <c r="A15" s="5" t="inlineStr">
        <is>
          <t>VAC (BAC − PM EAC)</t>
        </is>
      </c>
      <c r="B15" s="14" t="n">
        <v>0</v>
      </c>
      <c r="C15" s="6" t="inlineStr">
        <is>
          <t>Per PM manual EAC.</t>
        </is>
      </c>
    </row>
    <row r="16">
      <c r="A16" s="5" t="inlineStr">
        <is>
          <t>EV earned this period (P05)</t>
        </is>
      </c>
      <c r="B16" s="14" t="n">
        <v>399326</v>
      </c>
      <c r="C16" s="6" t="inlineStr">
        <is>
          <t>Delta vs P04 EV estimate.</t>
        </is>
      </c>
    </row>
    <row r="17">
      <c r="A17" s="5" t="inlineStr">
        <is>
          <t>TCPI to BAC = (BAC−EV)/(BAC−AC)</t>
        </is>
      </c>
      <c r="B17" s="15" t="n">
        <v>0.989</v>
      </c>
      <c r="C17" s="6" t="inlineStr">
        <is>
          <t>Cost performance required to hit BAC: 0.989 — feasible.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2" customWidth="1" min="3" max="3"/>
    <col width="12" customWidth="1" min="4" max="4"/>
    <col width="14" customWidth="1" min="5" max="5"/>
    <col width="14" customWidth="1" min="6" max="6"/>
    <col width="60" customWidth="1" min="7" max="7"/>
  </cols>
  <sheetData>
    <row r="1">
      <c r="A1" s="4" t="inlineStr">
        <is>
          <t>Baseline ID</t>
        </is>
      </c>
      <c r="B1" s="4" t="inlineStr">
        <is>
          <t>Activity</t>
        </is>
      </c>
      <c r="C1" s="4" t="inlineStr">
        <is>
          <t>BL Start</t>
        </is>
      </c>
      <c r="D1" s="4" t="inlineStr">
        <is>
          <t>BL Finish</t>
        </is>
      </c>
      <c r="E1" s="4" t="inlineStr">
        <is>
          <t>Actual / Status</t>
        </is>
      </c>
      <c r="F1" s="4" t="inlineStr">
        <is>
          <t>Variance (cal days)</t>
        </is>
      </c>
      <c r="G1" s="4" t="inlineStr">
        <is>
          <t>Cause / risk allocation</t>
        </is>
      </c>
    </row>
    <row r="2">
      <c r="A2" s="7" t="inlineStr">
        <is>
          <t>GW-1200</t>
        </is>
      </c>
      <c r="B2" s="8" t="inlineStr">
        <is>
          <t>DH1 piling</t>
        </is>
      </c>
      <c r="C2" s="8" t="inlineStr">
        <is>
          <t>2026-06-14</t>
        </is>
      </c>
      <c r="D2" s="8" t="inlineStr">
        <is>
          <t>2026-08-25</t>
        </is>
      </c>
      <c r="E2" s="8" t="inlineStr">
        <is>
          <t>In progress, 41/68 (60% QS)</t>
        </is>
      </c>
      <c r="F2" s="8" t="inlineStr">
        <is>
          <t>0 cal days loss</t>
        </is>
      </c>
      <c r="G2" s="8" t="inlineStr">
        <is>
          <t>On programme at month-end. 41 of 68 design installed + concreted. Pile log verified by QS.</t>
        </is>
      </c>
    </row>
    <row r="3">
      <c r="A3" s="9" t="inlineStr">
        <is>
          <t>GW-1300</t>
        </is>
      </c>
      <c r="B3" s="10" t="inlineStr">
        <is>
          <t>DH2 pile caps and ground beams</t>
        </is>
      </c>
      <c r="C3" s="10" t="inlineStr">
        <is>
          <t>2026-07-02</t>
        </is>
      </c>
      <c r="D3" s="10" t="inlineStr">
        <is>
          <t>2026-07-26</t>
        </is>
      </c>
      <c r="E3" s="10" t="inlineStr">
        <is>
          <t>Completed 28.07</t>
        </is>
      </c>
      <c r="F3" s="10" t="inlineStr">
        <is>
          <t>−2 cal days</t>
        </is>
      </c>
      <c r="G3" s="10" t="inlineStr">
        <is>
          <t>Concrete supply failure 22.07, Rudus Vantaa (Kallio's nominated supplier). Kallio supply-chain risk under PDC-SUB-001 Rev0. No claim lodged in P05.</t>
        </is>
      </c>
    </row>
    <row r="4">
      <c r="A4" s="9" t="inlineStr">
        <is>
          <t>GW-1500</t>
        </is>
      </c>
      <c r="B4" s="10" t="inlineStr">
        <is>
          <t>DH2 foundation waterproofing</t>
        </is>
      </c>
      <c r="C4" s="10" t="inlineStr">
        <is>
          <t>2026-07-27</t>
        </is>
      </c>
      <c r="D4" s="10" t="inlineStr">
        <is>
          <t>2026-08-12</t>
        </is>
      </c>
      <c r="E4" s="10" t="inlineStr">
        <is>
          <t>Not started at 31.07</t>
        </is>
      </c>
      <c r="F4" s="10" t="inlineStr">
        <is>
          <t>−2 cal days (propagated)</t>
        </is>
      </c>
      <c r="G4" s="10" t="inlineStr">
        <is>
          <t>Root cause: F-S link from GW-1300. Access only released 29.07. Propagated Kallio risk. Now programmed W/c 03.08.</t>
        </is>
      </c>
    </row>
    <row r="5">
      <c r="A5" s="7" t="inlineStr">
        <is>
          <t>MS-06</t>
        </is>
      </c>
      <c r="B5" s="8" t="inlineStr">
        <is>
          <t>Section 1 Sectional Completion</t>
        </is>
      </c>
      <c r="C5" s="8" t="inlineStr">
        <is>
          <t>2027-05-02</t>
        </is>
      </c>
      <c r="D5" s="8" t="inlineStr">
        <is>
          <t>2027-05-02</t>
        </is>
      </c>
      <c r="E5" s="8" t="inlineStr">
        <is>
          <t>Forecast-met</t>
        </is>
      </c>
      <c r="F5" s="8" t="inlineStr">
        <is>
          <t>0 cal days</t>
        </is>
      </c>
      <c r="G5" s="8" t="inlineStr">
        <is>
          <t>0 working days float on DH2 chain. Any further loss on GW-1200 is direct on completion date.</t>
        </is>
      </c>
    </row>
    <row r="6">
      <c r="A6" s="11" t="inlineStr">
        <is>
          <t>ST-1310</t>
        </is>
      </c>
      <c r="B6" s="12" t="inlineStr">
        <is>
          <t>Substation precast erection</t>
        </is>
      </c>
      <c r="C6" s="12" t="inlineStr">
        <is>
          <t>2026-11-02</t>
        </is>
      </c>
      <c r="D6" s="12" t="inlineStr">
        <is>
          <t>2026-11-25</t>
        </is>
      </c>
      <c r="E6" s="12" t="inlineStr">
        <is>
          <t>At risk</t>
        </is>
      </c>
      <c r="F6" s="12" t="inlineStr">
        <is>
          <t>Pending 110 kV review</t>
        </is>
      </c>
      <c r="G6" s="12" t="inlineStr">
        <is>
          <t>110 kV outage window under review (CD-05). Employer / PMC / Design risk. DNO written permission required.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6" customWidth="1" min="3" max="3"/>
    <col width="26" customWidth="1" min="4" max="4"/>
    <col width="28" customWidth="1" min="5" max="5"/>
    <col width="60" customWidth="1" min="6" max="6"/>
  </cols>
  <sheetData>
    <row r="1">
      <c r="A1" s="4" t="inlineStr">
        <is>
          <t>#</t>
        </is>
      </c>
      <c r="B1" s="4" t="inlineStr">
        <is>
          <t>Item</t>
        </is>
      </c>
      <c r="C1" s="4" t="inlineStr">
        <is>
          <t>Sub-return</t>
        </is>
      </c>
      <c r="D1" s="4" t="inlineStr">
        <is>
          <t>Site records / QS</t>
        </is>
      </c>
      <c r="E1" s="4" t="inlineStr">
        <is>
          <t>Governing record</t>
        </is>
      </c>
      <c r="F1" s="4" t="inlineStr">
        <is>
          <t>Reason</t>
        </is>
      </c>
    </row>
    <row r="2">
      <c r="A2" s="5" t="n">
        <v>1</v>
      </c>
      <c r="B2" s="6" t="inlineStr">
        <is>
          <t>DH1 piling % cum</t>
        </is>
      </c>
      <c r="C2" s="6" t="inlineStr">
        <is>
          <t>Kallio 64%</t>
        </is>
      </c>
      <c r="D2" s="6" t="inlineStr">
        <is>
          <t>QS 60% (41/68)</t>
        </is>
      </c>
      <c r="E2" s="6" t="inlineStr">
        <is>
          <t>QS 60%</t>
        </is>
      </c>
      <c r="F2" s="6" t="inlineStr">
        <is>
          <t>QS measure uses installed-pile count against the 68-pile DH1 design scope (PDC-LAB-P05). Kallio's 64% is time-elapsed % from programme start 2026-06-14. Sectional Completion register is a quantity register. Reconciliation A05-01 due 05.08.</t>
        </is>
      </c>
    </row>
    <row r="3">
      <c r="A3" s="5" t="n">
        <v>2</v>
      </c>
      <c r="B3" s="6" t="inlineStr">
        <is>
          <t>IL-1400 cooling spine % cum</t>
        </is>
      </c>
      <c r="C3" s="6" t="inlineStr">
        <is>
          <t>Ilmatek 12% (offsite prefab)</t>
        </is>
      </c>
      <c r="D3" s="6" t="inlineStr">
        <is>
          <t>QS 5% (on-site)</t>
        </is>
      </c>
      <c r="E3" s="6" t="inlineStr">
        <is>
          <t>QS 5%</t>
        </is>
      </c>
      <c r="F3" s="6" t="inlineStr">
        <is>
          <t>PDC-SUB-005 Rev1 Cl. 4.7 pays on completion of work in the Permanent Works. Offsite spool sections do not pass materials-on-site. Tender qualification Q7 did not survive into Rev1 (Contracts module finding).</t>
        </is>
      </c>
    </row>
    <row r="4">
      <c r="A4" s="5" t="n">
        <v>3</v>
      </c>
      <c r="B4" s="6" t="inlineStr">
        <is>
          <t>DH2 waterproofing start</t>
        </is>
      </c>
      <c r="C4" s="6" t="inlineStr">
        <is>
          <t>Programme 29.07</t>
        </is>
      </c>
      <c r="D4" s="6" t="inlineStr">
        <is>
          <t>Not started at 31.07</t>
        </is>
      </c>
      <c r="E4" s="6" t="inlineStr">
        <is>
          <t>Site records</t>
        </is>
      </c>
      <c r="F4" s="6" t="inlineStr">
        <is>
          <t>PDC-LAB-P05 QS Site Measure: 'NOT COMMENCED at 31.07. Access to DH2 caps only released 29.07.' — root cause is F-S link from GW-1300, not weather or storm.</t>
        </is>
      </c>
    </row>
    <row r="5">
      <c r="A5" s="5" t="n">
        <v>4</v>
      </c>
      <c r="B5" s="6" t="inlineStr">
        <is>
          <t>NE car park construction start</t>
        </is>
      </c>
      <c r="C5" s="6" t="inlineStr">
        <is>
          <t>Lehtinen not started</t>
        </is>
      </c>
      <c r="D5" s="6" t="inlineStr">
        <is>
          <t>Blocked by R-09 compound</t>
        </is>
      </c>
      <c r="E5" s="6" t="inlineStr">
        <is>
          <t>Site records / Logistics</t>
        </is>
      </c>
      <c r="F5" s="6" t="inlineStr">
        <is>
          <t>Employer-side internal site logistics constraint — temporary parking compound relocation. Not a sub failure. Logistics to commit a relocation date in writing before P06.</t>
        </is>
      </c>
    </row>
    <row r="6">
      <c r="A6" s="5" t="n">
        <v>5</v>
      </c>
      <c r="B6" s="6" t="inlineStr">
        <is>
          <t>TP-005 sectional completion programme</t>
        </is>
      </c>
      <c r="C6" s="6" t="inlineStr">
        <is>
          <t>Rev2 dated 2027-03-31</t>
        </is>
      </c>
      <c r="D6" s="6" t="inlineStr">
        <is>
          <t>Rev2 not yet accepted by PMC</t>
        </is>
      </c>
      <c r="E6" s="6" t="inlineStr">
        <is>
          <t>Rev2 not yet accepted</t>
        </is>
      </c>
      <c r="F6" s="6" t="inlineStr">
        <is>
          <t>Programme Compliance review documented 8 high-severity findings against PDC-SCH-005 Rev2. Reported position is against an unaccepted baseline programme.</t>
        </is>
      </c>
    </row>
    <row r="7">
      <c r="A7" s="5" t="n">
        <v>6</v>
      </c>
      <c r="B7" s="6" t="inlineStr">
        <is>
          <t>Piling rig 2 down 13–15.07 cause</t>
        </is>
      </c>
      <c r="C7" s="6" t="inlineStr">
        <is>
          <t>Kallio N-04 narrative conflates with NW corner</t>
        </is>
      </c>
      <c r="D7" s="6" t="inlineStr">
        <is>
          <t>Plant return: hydraulic failure</t>
        </is>
      </c>
      <c r="E7" s="6" t="inlineStr">
        <is>
          <t>Plant return</t>
        </is>
      </c>
      <c r="F7" s="6" t="inlineStr">
        <is>
          <t>PDC-PROG-001-P05 N-02 and PDC-LAB-P05 Plant Returns both record: 'hydraulic failure. Parts ex Tampere. Rig returned to service 16.07.' Cause = mechanical, not weather.</t>
        </is>
      </c>
    </row>
    <row r="8">
      <c r="A8" s="5" t="n">
        <v>7</v>
      </c>
      <c r="B8" s="6" t="inlineStr">
        <is>
          <t>22.07 Rudus Vantaa concrete supply failure</t>
        </is>
      </c>
      <c r="C8" s="6" t="inlineStr">
        <is>
          <t>Kallio N-04: event noted; NO claim lodged; NO Cl. 4.4 reference</t>
        </is>
      </c>
      <c r="D8" s="6" t="inlineStr">
        <is>
          <t>No alternative record</t>
        </is>
      </c>
      <c r="E8" s="6" t="inlineStr">
        <is>
          <t>Sub-return N-04 — no Employer liability</t>
        </is>
      </c>
      <c r="F8" s="6" t="inlineStr">
        <is>
          <t>Full-text search of the project folder confirms no EUR figure or Cl. 4.4 instrument for the 22.07 event exists in any document. Under PDC-SUB-001 Rev0 the supply chain is Kallio's responsibility. No Employer valuation is reserved against the 22.07 event.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4" customWidth="1" min="3" max="3"/>
    <col width="14" customWidth="1" min="4" max="4"/>
    <col width="60" customWidth="1" min="5" max="5"/>
  </cols>
  <sheetData>
    <row r="1">
      <c r="A1" s="4" t="inlineStr">
        <is>
          <t>Ref</t>
        </is>
      </c>
      <c r="B1" s="4" t="inlineStr">
        <is>
          <t>Open check</t>
        </is>
      </c>
      <c r="C1" s="4" t="inlineStr">
        <is>
          <t>Owner</t>
        </is>
      </c>
      <c r="D1" s="4" t="inlineStr">
        <is>
          <t>Due</t>
        </is>
      </c>
      <c r="E1" s="4" t="inlineStr">
        <is>
          <t>Source / context</t>
        </is>
      </c>
    </row>
    <row r="2">
      <c r="A2" s="5" t="inlineStr">
        <is>
          <t>A05-01</t>
        </is>
      </c>
      <c r="B2" s="6" t="inlineStr">
        <is>
          <t>Reconcile DH1 piling % with QS site measure (pile log 41/68 = 60%)</t>
        </is>
      </c>
      <c r="C2" s="6" t="inlineStr">
        <is>
          <t>PK (Kallio)</t>
        </is>
      </c>
      <c r="D2" s="6" t="inlineStr">
        <is>
          <t>2026-08-05</t>
        </is>
      </c>
      <c r="E2" s="6" t="inlineStr">
        <is>
          <t>PDC-MIN-P05 §3.1 / §4. Pile log 41/68 acknowledged by both parties; sub's 64% is time-elapsed.</t>
        </is>
      </c>
    </row>
    <row r="3">
      <c r="A3" s="5" t="inlineStr">
        <is>
          <t>A05-02</t>
        </is>
      </c>
      <c r="B3" s="6" t="inlineStr">
        <is>
          <t>DNO exclusion-zone confirmation for ST-1310 precast</t>
        </is>
      </c>
      <c r="C3" s="6" t="inlineStr">
        <is>
          <t>PMC / Design</t>
        </is>
      </c>
      <c r="D3" s="6" t="inlineStr">
        <is>
          <t>TBC</t>
        </is>
      </c>
      <c r="E3" s="6" t="inlineStr">
        <is>
          <t>PDC-LTR-PMC-011 CD-05: 110 kV outage review; PDC-SCH-005 Rev2 IL-1550 commissioning risk.</t>
        </is>
      </c>
    </row>
    <row r="4">
      <c r="A4" s="5" t="inlineStr">
        <is>
          <t>A05-03</t>
        </is>
      </c>
      <c r="B4" s="6" t="inlineStr">
        <is>
          <t>Confirm B.04 NW corner remeasure and time consequence</t>
        </is>
      </c>
      <c r="C4" s="6" t="inlineStr">
        <is>
          <t>PMC → ER</t>
        </is>
      </c>
      <c r="D4" s="6" t="inlineStr">
        <is>
          <t>TBC</t>
        </is>
      </c>
      <c r="E4" s="6" t="inlineStr">
        <is>
          <t>Kallio reservation N-01/N-03/N-05. PDC-BOQ-001 B.04 EUR 102,762.98. NOT yet instructed.</t>
        </is>
      </c>
    </row>
    <row r="5">
      <c r="A5" s="5" t="inlineStr">
        <is>
          <t>A05-04</t>
        </is>
      </c>
      <c r="B5" s="6" t="inlineStr">
        <is>
          <t>Relocation of temporary parking compound (R-09)</t>
        </is>
      </c>
      <c r="C5" s="6" t="inlineStr">
        <is>
          <t>TL / Logistics</t>
        </is>
      </c>
      <c r="D5" s="6" t="inlineStr">
        <is>
          <t>TBC</t>
        </is>
      </c>
      <c r="E5" s="6" t="inlineStr">
        <is>
          <t>PDC-PROG-008-P05 comment. Blocks NE car park construction. Employer-side risk.</t>
        </is>
      </c>
    </row>
    <row r="6">
      <c r="A6" s="5" t="inlineStr">
        <is>
          <t>A05-05</t>
        </is>
      </c>
      <c r="B6" s="6" t="inlineStr">
        <is>
          <t>Ilmatek recovery schedule request under PDC-SUB-005 Rev1 Cl. 4.4</t>
        </is>
      </c>
      <c r="C6" s="6" t="inlineStr">
        <is>
          <t>PMC</t>
        </is>
      </c>
      <c r="D6" s="6" t="inlineStr">
        <is>
          <t>After report</t>
        </is>
      </c>
      <c r="E6" s="6" t="inlineStr">
        <is>
          <t>Held at user's instruction. Labour 5 vs 11 planned W30/W31.</t>
        </is>
      </c>
    </row>
    <row r="7">
      <c r="A7" s="5" t="inlineStr">
        <is>
          <t>A05-06</t>
        </is>
      </c>
      <c r="B7" s="6" t="inlineStr">
        <is>
          <t>Ilmatek Rev2 baseline programme acceptance decision</t>
        </is>
      </c>
      <c r="C7" s="6" t="inlineStr">
        <is>
          <t>PMC</t>
        </is>
      </c>
      <c r="D7" s="6" t="inlineStr">
        <is>
          <t>TBC</t>
        </is>
      </c>
      <c r="E7" s="6" t="inlineStr">
        <is>
          <t>Programme Compliance review complete (8 high-severity findings). Decision required before P06 EAC against TP-005.</t>
        </is>
      </c>
    </row>
    <row r="8">
      <c r="A8" s="5" t="inlineStr">
        <is>
          <t>A05-07</t>
        </is>
      </c>
      <c r="B8" s="6" t="inlineStr">
        <is>
          <t>Confirm 110 kV outage window with Vantaan Energia</t>
        </is>
      </c>
      <c r="C8" s="6" t="inlineStr">
        <is>
          <t>PMC / Design</t>
        </is>
      </c>
      <c r="D8" s="6" t="inlineStr">
        <is>
          <t>TBC</t>
        </is>
      </c>
      <c r="E8" s="6" t="inlineStr">
        <is>
          <t>PDC-LTR-PMC-011 CD-05. 16 weeks' notice required per PDC-CAL-001. Affects ST-1310 + Section G.</t>
        </is>
      </c>
    </row>
    <row r="9">
      <c r="A9" s="5" t="inlineStr">
        <is>
          <t>R-09</t>
        </is>
      </c>
      <c r="B9" s="6" t="inlineStr">
        <is>
          <t>TMP compound relocation — programme impact</t>
        </is>
      </c>
      <c r="C9" s="6" t="inlineStr">
        <is>
          <t>TL</t>
        </is>
      </c>
      <c r="D9" s="6" t="inlineStr">
        <is>
          <t>TBC</t>
        </is>
      </c>
      <c r="E9" s="6" t="inlineStr">
        <is>
          <t>Logged in PDC Risk Register. No quantified impact on programme yet.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2026-08-09T16:55:13Z</dcterms:created>
  <dcterms:modified xmlns:dcterms="http://purl.org/dc/terms/" xmlns:xsi="http://www.w3.org/2001/XMLSchema-instance" xsi:type="dcterms:W3CDTF">2026-08-09T16:55:13Z</dcterms:modified>
</cp:coreProperties>
</file>