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ead 2 - EOT" sheetId="2" state="visible" r:id="rId2"/>
    <sheet xmlns:r="http://schemas.openxmlformats.org/officeDocument/2006/relationships" name="Head 3 - Prolongation" sheetId="3" state="visible" r:id="rId3"/>
    <sheet xmlns:r="http://schemas.openxmlformats.org/officeDocument/2006/relationships" name="Head 4 - Incurred" sheetId="4" state="visible" r:id="rId4"/>
    <sheet xmlns:r="http://schemas.openxmlformats.org/officeDocument/2006/relationships" name="Total" sheetId="5" state="visible" r:id="rId5"/>
    <sheet xmlns:r="http://schemas.openxmlformats.org/officeDocument/2006/relationships" name="Head 1 - Notice validity" sheetId="6" state="visible" r:id="rId6"/>
    <sheet xmlns:r="http://schemas.openxmlformats.org/officeDocument/2006/relationships" name="Float Geometry (Annex J)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wd&quot;"/>
    <numFmt numFmtId="165" formatCode="0&quot; weeks&quot;"/>
    <numFmt numFmtId="166" formatCode="#,##0&quot; EUR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strike val="1"/>
      <color rgb="0080808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5" fontId="0" fillId="0" borderId="1" pivotButton="0" quotePrefix="0" xfId="0"/>
    <xf numFmtId="165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4" fontId="2" fillId="4" borderId="1" pivotButton="0" quotePrefix="0" xfId="0"/>
    <xf numFmtId="3" fontId="3" fillId="4" borderId="1" pivotButton="0" quotePrefix="0" xfId="0"/>
    <xf numFmtId="3" fontId="2" fillId="4" borderId="1" pivotButton="0" quotePrefix="0" xfId="0"/>
    <xf numFmtId="3" fontId="5" fillId="0" borderId="1" pivotButton="0" quotePrefix="0" xfId="0"/>
    <xf numFmtId="0" fontId="0" fillId="0" borderId="0" applyAlignment="1" pivotButton="0" quotePrefix="0" xfId="0">
      <alignment vertical="top" wrapText="1"/>
    </xf>
    <xf numFmtId="166" fontId="0" fillId="0" borderId="1" pivotButton="0" quotePrefix="0" xfId="0"/>
    <xf numFmtId="166" fontId="2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PDC-CLM-001 — 110 kV EOT &amp; Prolongation Claim</t>
        </is>
      </c>
    </row>
    <row r="2">
      <c r="A2" t="inlineStr">
        <is>
          <t>Quantum workbook — Period 09 update — engine-computed EOT</t>
        </is>
      </c>
    </row>
    <row r="3">
      <c r="A3" t="inlineStr">
        <is>
          <t>Source: PDC-PROG-P09_Impact_Records_and_Preliminaries_Nov2026.xlsx</t>
        </is>
      </c>
    </row>
    <row r="4">
      <c r="A4" t="inlineStr">
        <is>
          <t>Contract: PDC-PC-001 Rev C (FIDIC Yellow Book 2017, Particular Conditions as amended)</t>
        </is>
      </c>
    </row>
    <row r="5">
      <c r="A5" t="inlineStr">
        <is>
          <t>Contractor: Suomen Betoni-Infra Oy   |   Employer: Aviapolis DC Holdings Oy   |   Engineer: A. Halonen</t>
        </is>
      </c>
    </row>
    <row r="7">
      <c r="A7" s="2" t="inlineStr">
        <is>
          <t>Headline numbers (engine-computed, no SP-7 apportionment)</t>
        </is>
      </c>
    </row>
    <row r="8">
      <c r="A8" t="inlineStr">
        <is>
          <t>EOT sought: 30 working days (engine-computed slip; L4 slip absorbed by ST-1300 float, see Annex J)</t>
        </is>
      </c>
    </row>
    <row r="9">
      <c r="A9" t="inlineStr">
        <is>
          <t>Prolongation: 30 wd × EUR 4,492.68/wd = EUR 134,780</t>
        </is>
      </c>
    </row>
    <row r="10">
      <c r="A10" t="inlineStr">
        <is>
          <t>Cost incurred: EUR 18,400 (expressly excludes Ilmatek Head D EUR 12,400, see Head 7)</t>
        </is>
      </c>
    </row>
    <row r="11">
      <c r="A11" s="2" t="inlineStr">
        <is>
          <t>TOTAL: EUR 153,180</t>
        </is>
      </c>
    </row>
    <row r="13">
      <c r="A13" s="2" t="inlineStr">
        <is>
          <t>How to read this workbook</t>
        </is>
      </c>
    </row>
    <row r="14">
      <c r="A14" t="inlineStr">
        <is>
          <t>• Every EUR figure on this workbook is a formula. Cells are sourced to PDC-PROG-P09.</t>
        </is>
      </c>
    </row>
    <row r="15">
      <c r="A15" t="inlineStr">
        <is>
          <t>• Yellow rows are subtotals. Gold rows are totals. Strike-through rows are NOT claimed.</t>
        </is>
      </c>
    </row>
    <row r="16">
      <c r="A16" t="inlineStr">
        <is>
          <t>• If a source-cell value changes, every downstream figure recalculates on file open.</t>
        </is>
      </c>
    </row>
    <row r="17">
      <c r="A17" t="inlineStr">
        <is>
          <t>• Notice arithmetic (Head 1) is on a separate sheet for clarity.</t>
        </is>
      </c>
    </row>
    <row r="18">
      <c r="A18" t="inlineStr">
        <is>
          <t>• ST-1300 float geometry (Annex J in the narrative) is summarised in the 'Float Geometry'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3" t="inlineStr">
        <is>
          <t>Head 2 — EOT and Slip (TIA, engine-computed; no SP-7 apportionment)</t>
        </is>
      </c>
    </row>
    <row r="2">
      <c r="A2" t="inlineStr">
        <is>
          <t>Source: PDC-PROG-P09, sheet '110 kV Impact Window'; Annex TIA engine output</t>
        </is>
      </c>
    </row>
    <row r="4">
      <c r="A4" s="4" t="inlineStr">
        <is>
          <t>Item</t>
        </is>
      </c>
      <c r="B4" s="4" t="inlineStr">
        <is>
          <t>Value</t>
        </is>
      </c>
      <c r="C4" s="4" t="inlineStr">
        <is>
          <t>Source</t>
        </is>
      </c>
    </row>
    <row r="5">
      <c r="A5" t="inlineStr">
        <is>
          <t>110 kV energisation (EN-110) — contract</t>
        </is>
      </c>
      <c r="B5" s="5" t="inlineStr">
        <is>
          <t>2027-03-12</t>
        </is>
      </c>
      <c r="C5" t="inlineStr">
        <is>
          <t>PDC-LTR-PMC-014, 28.08.2026, paragraph 1</t>
        </is>
      </c>
    </row>
    <row r="6">
      <c r="A6" t="inlineStr">
        <is>
          <t>110 kV energisation (EN-110) — revised</t>
        </is>
      </c>
      <c r="B6" s="5" t="inlineStr">
        <is>
          <t>2027-04-24</t>
        </is>
      </c>
      <c r="C6" t="inlineStr">
        <is>
          <t>PDC-LTR-PMC-014, 28.08.2026, paragraph 1</t>
        </is>
      </c>
    </row>
    <row r="7">
      <c r="A7" t="inlineStr">
        <is>
          <t>Calendar slip (cal days)</t>
        </is>
      </c>
      <c r="B7" s="6">
        <f>DATE(2027,4,24)-DATE(2027,3,12)</f>
        <v/>
      </c>
      <c r="C7" t="inlineStr">
        <is>
          <t>Sheet '110 kV Impact Window', row 1 — Difference = 43</t>
        </is>
      </c>
    </row>
    <row r="8">
      <c r="A8" t="inlineStr">
        <is>
          <t>Working-day slip (wd)</t>
        </is>
      </c>
      <c r="B8" s="6" t="n">
        <v>30</v>
      </c>
      <c r="C8" t="inlineStr">
        <is>
          <t>Sheet '110 kV Impact Window', row 2 — Difference = 30</t>
        </is>
      </c>
    </row>
    <row r="10">
      <c r="A10" s="7" t="inlineStr">
        <is>
          <t>TIA engine output</t>
        </is>
      </c>
      <c r="B10" s="8" t="n"/>
      <c r="C10" s="9" t="n"/>
    </row>
    <row r="11">
      <c r="A11" t="inlineStr">
        <is>
          <t>Baseline makespan (EN-110 at contract date)</t>
        </is>
      </c>
      <c r="B11" s="10" t="n">
        <v>186</v>
      </c>
      <c r="C11" t="inlineStr">
        <is>
          <t>Annex TIA §13.1 — engine</t>
        </is>
      </c>
    </row>
    <row r="12">
      <c r="A12" t="inlineStr">
        <is>
          <t>Scenario makespan (EN-110 at revised date)</t>
        </is>
      </c>
      <c r="B12" s="10" t="n">
        <v>216</v>
      </c>
      <c r="C12" t="inlineStr">
        <is>
          <t>Annex TIA §13.2 — engine</t>
        </is>
      </c>
    </row>
    <row r="13">
      <c r="A13" s="11" t="inlineStr">
        <is>
          <t>Engine-computed Employer-attributable slip (wd)</t>
        </is>
      </c>
      <c r="B13" s="12">
        <f>B12-B11</f>
        <v/>
      </c>
      <c r="C13" t="inlineStr">
        <is>
          <t>B12 − B11 = 30 wd (matches B8 above)</t>
        </is>
      </c>
    </row>
    <row r="15">
      <c r="A15" s="7" t="inlineStr">
        <is>
          <t>Contractor-side slip on ST-1300 (recorded)</t>
        </is>
      </c>
      <c r="B15" s="8" t="n"/>
      <c r="C15" s="9" t="n"/>
    </row>
    <row r="16">
      <c r="A16" t="inlineStr">
        <is>
          <t>ST-1300 L4 handover slip (wd)</t>
        </is>
      </c>
      <c r="B16" s="6" t="n">
        <v>9</v>
      </c>
      <c r="C16" t="inlineStr">
        <is>
          <t>PDC-PROG-P09, sheet 'Concurrent Delay Record', ref C-01</t>
        </is>
      </c>
    </row>
    <row r="17">
      <c r="A17" t="inlineStr">
        <is>
          <t>ST-1300 baseline total float (wd)</t>
        </is>
      </c>
      <c r="B17" s="6" t="n">
        <v>55</v>
      </c>
      <c r="C17" t="inlineStr">
        <is>
          <t>Annex J §16.2 — engine + add_wd boundary check</t>
        </is>
      </c>
    </row>
    <row r="18">
      <c r="A18" t="inlineStr">
        <is>
          <t>ST-1300 scenario total float (wd)</t>
        </is>
      </c>
      <c r="B18" s="6" t="n">
        <v>85</v>
      </c>
      <c r="C18" t="inlineStr">
        <is>
          <t>Annex J §16.2 — engine + add_wd boundary check</t>
        </is>
      </c>
    </row>
    <row r="19">
      <c r="A19" t="inlineStr">
        <is>
          <t>L4 slip forecast finish (wd from project start)</t>
        </is>
      </c>
      <c r="B19" s="6">
        <f>30+B16</f>
        <v/>
      </c>
      <c r="C19" t="inlineStr">
        <is>
          <t>ST-1300 planned finish (day 30) + L4 slip (9 wd) = day 39</t>
        </is>
      </c>
    </row>
    <row r="20">
      <c r="A20" t="inlineStr">
        <is>
          <t>L4 slip absorbed by float?</t>
        </is>
      </c>
      <c r="B20" s="5">
        <f>IF(B19&lt;B17,"YES — slip is on float","NO — slip bites on completion")</f>
        <v/>
      </c>
      <c r="C20" t="inlineStr">
        <is>
          <t>Day 39 forecast finish &lt; day 85 latest permissible finish</t>
        </is>
      </c>
    </row>
    <row r="22">
      <c r="A22" s="11" t="inlineStr">
        <is>
          <t>Apportionment under Rev C SP-7</t>
        </is>
      </c>
      <c r="B22" s="8" t="n"/>
      <c r="C22" s="9" t="n"/>
    </row>
    <row r="23">
      <c r="A23" t="inlineStr">
        <is>
          <t>Engine-computed Employer slip (wd)</t>
        </is>
      </c>
      <c r="B23" s="6">
        <f>B13</f>
        <v/>
      </c>
      <c r="C23" t="inlineStr">
        <is>
          <t>Same as B13 (no apportionment earned)</t>
        </is>
      </c>
    </row>
    <row r="24">
      <c r="A24" t="inlineStr">
        <is>
          <t>Deduction under SP-7 (wd)</t>
        </is>
      </c>
      <c r="B24" s="6" t="n">
        <v>0</v>
      </c>
      <c r="C24" t="inlineStr">
        <is>
          <t>L4 slip is on float; SP-7 does not reach a slip on float</t>
        </is>
      </c>
    </row>
    <row r="25">
      <c r="A25" s="11" t="inlineStr">
        <is>
          <t>EOT sought (wd)</t>
        </is>
      </c>
      <c r="B25" s="12">
        <f>B23-B24</f>
        <v/>
      </c>
      <c r="C25" t="inlineStr">
        <is>
          <t>Engine slip (B23) − SP-7 deduction (0) = 30 wd</t>
        </is>
      </c>
    </row>
  </sheetData>
  <mergeCells count="3">
    <mergeCell ref="A10:C10"/>
    <mergeCell ref="A22:C22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4" customWidth="1" min="3" max="3"/>
    <col width="24" customWidth="1" min="4" max="4"/>
  </cols>
  <sheetData>
    <row r="1">
      <c r="A1" s="3" t="inlineStr">
        <is>
          <t>Head 3 — Prolongation rate build-up</t>
        </is>
      </c>
    </row>
    <row r="2">
      <c r="A2" t="inlineStr">
        <is>
          <t>Source: PDC-PROG-P09, sheet 'Preliminaries — BOQ Section A'</t>
        </is>
      </c>
    </row>
    <row r="4">
      <c r="A4" s="4" t="inlineStr">
        <is>
          <t>Ref</t>
        </is>
      </c>
      <c r="B4" s="4" t="inlineStr">
        <is>
          <t>Item</t>
        </is>
      </c>
      <c r="C4" s="4" t="inlineStr">
        <is>
          <t>Basis</t>
        </is>
      </c>
      <c r="D4" s="4" t="inlineStr">
        <is>
          <t>EUR</t>
        </is>
      </c>
    </row>
    <row r="5">
      <c r="A5" s="5" t="inlineStr">
        <is>
          <t>A.01</t>
        </is>
      </c>
      <c r="B5" s="5" t="inlineStr">
        <is>
          <t>Site establishment, offices, welfare</t>
        </is>
      </c>
      <c r="C5" s="13" t="n">
        <v>82</v>
      </c>
      <c r="D5" s="6" t="n">
        <v>947000</v>
      </c>
    </row>
    <row r="6">
      <c r="A6" s="5" t="inlineStr">
        <is>
          <t>A.02</t>
        </is>
      </c>
      <c r="B6" s="5" t="inlineStr">
        <is>
          <t>Site management and supervision staff</t>
        </is>
      </c>
      <c r="C6" s="13" t="n">
        <v>82</v>
      </c>
      <c r="D6" s="6" t="n">
        <v>612000</v>
      </c>
    </row>
    <row r="7">
      <c r="A7" s="5" t="inlineStr">
        <is>
          <t>A.03</t>
        </is>
      </c>
      <c r="B7" s="5" t="inlineStr">
        <is>
          <t>Site services, power, water, telecoms</t>
        </is>
      </c>
      <c r="C7" s="13" t="n">
        <v>82</v>
      </c>
      <c r="D7" s="6" t="n">
        <v>168000</v>
      </c>
    </row>
    <row r="8">
      <c r="A8" s="5" t="inlineStr">
        <is>
          <t>A.04</t>
        </is>
      </c>
      <c r="B8" s="5" t="inlineStr">
        <is>
          <t>Common plant, access and small tools</t>
        </is>
      </c>
      <c r="C8" s="13" t="n">
        <v>82</v>
      </c>
      <c r="D8" s="6" t="n">
        <v>115000</v>
      </c>
    </row>
    <row r="9">
      <c r="A9" s="7" t="inlineStr">
        <is>
          <t>TOTAL TIME-RELATED PRELIMINARIES</t>
        </is>
      </c>
      <c r="C9" s="14" t="n">
        <v>82</v>
      </c>
      <c r="D9" s="15">
        <f>SUM(D5:D8)</f>
        <v/>
      </c>
    </row>
    <row r="11">
      <c r="A11" s="7" t="inlineStr">
        <is>
          <t>WEEKLY RATE</t>
        </is>
      </c>
      <c r="D11" s="16">
        <f>D9/C9</f>
        <v/>
      </c>
    </row>
    <row r="12">
      <c r="A12" s="11" t="inlineStr">
        <is>
          <t>DAILY RATE (working day, /5)</t>
        </is>
      </c>
      <c r="D12" s="17">
        <f>D11/5</f>
        <v/>
      </c>
    </row>
    <row r="14">
      <c r="A14" t="inlineStr">
        <is>
          <t>Compensable working days (from Head 2, no SP-7 deduction)</t>
        </is>
      </c>
      <c r="D14" s="6">
        <f>'Head 2 - EOT'!B25</f>
        <v/>
      </c>
    </row>
    <row r="15">
      <c r="A15" s="3" t="inlineStr">
        <is>
          <t>PROLONGATION COST (EUR)</t>
        </is>
      </c>
      <c r="D15" s="18">
        <f>D14*D12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6" customWidth="1" min="3" max="3"/>
    <col width="18" customWidth="1" min="4" max="4"/>
  </cols>
  <sheetData>
    <row r="1">
      <c r="A1" s="3" t="inlineStr">
        <is>
          <t>Head 4 — Cost incurred to 30.11.2026 (excludes Ilmatek Head D EUR 12,400)</t>
        </is>
      </c>
    </row>
    <row r="2">
      <c r="A2" t="inlineStr">
        <is>
          <t>Source: PDC-PROG-P09, sheet 'Incurred to Date'</t>
        </is>
      </c>
    </row>
    <row r="4">
      <c r="A4" s="4" t="inlineStr">
        <is>
          <t>Ref</t>
        </is>
      </c>
      <c r="B4" s="4" t="inlineStr">
        <is>
          <t>Item</t>
        </is>
      </c>
      <c r="C4" s="4" t="inlineStr">
        <is>
          <t>Evidence</t>
        </is>
      </c>
      <c r="D4" s="4" t="inlineStr">
        <is>
          <t>EUR</t>
        </is>
      </c>
    </row>
    <row r="5">
      <c r="A5" s="5" t="inlineStr">
        <is>
          <t>I-01</t>
        </is>
      </c>
      <c r="B5" s="5" t="inlineStr">
        <is>
          <t>Commissioning engineer mobilisation deferred — cancellation fee</t>
        </is>
      </c>
      <c r="C5" s="5" t="inlineStr">
        <is>
          <t>Invoice CX-2211, 14.11.2026</t>
        </is>
      </c>
      <c r="D5" s="6" t="n">
        <v>8400</v>
      </c>
    </row>
    <row r="6">
      <c r="A6" s="5" t="inlineStr">
        <is>
          <t>I-02</t>
        </is>
      </c>
      <c r="B6" s="5" t="inlineStr">
        <is>
          <t>Temporary power hire extended, 6 weeks</t>
        </is>
      </c>
      <c r="C6" s="5" t="inlineStr">
        <is>
          <t>Order VP-0417 variation</t>
        </is>
      </c>
      <c r="D6" s="6" t="n">
        <v>6800</v>
      </c>
    </row>
    <row r="7">
      <c r="A7" s="5" t="inlineStr">
        <is>
          <t>I-03</t>
        </is>
      </c>
      <c r="B7" s="5" t="inlineStr">
        <is>
          <t>Re-planning and re-issue of the commissioning sequence</t>
        </is>
      </c>
      <c r="C7" s="5" t="inlineStr">
        <is>
          <t>Timesheets wk 45–47</t>
        </is>
      </c>
      <c r="D7" s="6" t="n">
        <v>3200</v>
      </c>
    </row>
    <row r="8">
      <c r="A8" s="11" t="inlineStr">
        <is>
          <t>TOTAL INCURRED — IN HEAD 4</t>
        </is>
      </c>
      <c r="D8" s="19">
        <f>SUM(D5:D7)</f>
        <v/>
      </c>
    </row>
    <row r="10">
      <c r="A10" s="7" t="inlineStr">
        <is>
          <t>Expressly excluded (NOT claimed here)</t>
        </is>
      </c>
      <c r="B10" s="8" t="n"/>
      <c r="C10" s="8" t="n"/>
      <c r="D10" s="9" t="n"/>
    </row>
    <row r="11">
      <c r="A11" s="5" t="inlineStr">
        <is>
          <t>I-D</t>
        </is>
      </c>
      <c r="B11" s="5" t="inlineStr">
        <is>
          <t>Ilmatek TP-005 Head D — TC-02 outage standing time</t>
        </is>
      </c>
      <c r="C11" s="5" t="inlineStr">
        <is>
          <t>PDC-LAB-P08 plant log; PDC-LTR-005-009, 06.10.2026; settled under A09-03 (MIN-P09)</t>
        </is>
      </c>
      <c r="D11" s="20" t="n">
        <v>12400</v>
      </c>
    </row>
    <row r="12" ht="36" customHeight="1">
      <c r="A12" t="inlineStr">
        <is>
          <t>REASON</t>
        </is>
      </c>
      <c r="B12" s="21" t="inlineStr">
        <is>
          <t>Contractor-risk plant outage on SBI's own TC-02; settled separately via Ilmatek November valuation under Meeting No. 9 action A09-03. See Head 7 of PDC-CLM-001.</t>
        </is>
      </c>
    </row>
  </sheetData>
  <mergeCells count="2">
    <mergeCell ref="B12:D1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56" customWidth="1" min="3" max="3"/>
  </cols>
  <sheetData>
    <row r="1">
      <c r="A1" s="1" t="inlineStr">
        <is>
          <t>PDC-CLM-001 — Total Claim</t>
        </is>
      </c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</row>
    <row r="4">
      <c r="A4" t="inlineStr">
        <is>
          <t>EOT sought</t>
        </is>
      </c>
      <c r="B4" s="10">
        <f>'Head 2 - EOT'!B25</f>
        <v/>
      </c>
      <c r="C4" t="inlineStr">
        <is>
          <t>Head 2 sheet, cell B25</t>
        </is>
      </c>
    </row>
    <row r="5">
      <c r="A5" t="inlineStr">
        <is>
          <t>Prolongation</t>
        </is>
      </c>
      <c r="B5" s="22">
        <f>'Head 3 - Prolongation'!D15</f>
        <v/>
      </c>
      <c r="C5" t="inlineStr">
        <is>
          <t>Head 3 sheet, prolongation row</t>
        </is>
      </c>
    </row>
    <row r="6">
      <c r="A6" t="inlineStr">
        <is>
          <t>Cost incurred to date (Head 4)</t>
        </is>
      </c>
      <c r="B6" s="22">
        <f>'Head 4 - Incurred'!D8</f>
        <v/>
      </c>
      <c r="C6" t="inlineStr">
        <is>
          <t>Head 4 sheet, total incurred row</t>
        </is>
      </c>
    </row>
    <row r="7">
      <c r="A7" s="11" t="inlineStr">
        <is>
          <t>TOTAL CLAIM — COST</t>
        </is>
      </c>
      <c r="B7" s="23">
        <f>B5+B6</f>
        <v/>
      </c>
    </row>
    <row r="9">
      <c r="A9" t="inlineStr">
        <is>
          <t>Reserved pass-through (Ilmatek Head B)</t>
        </is>
      </c>
      <c r="B9" t="inlineStr">
        <is>
          <t>to be assessed under Subcontract PDC-SUB-005 Rev 1 Cl 1.3</t>
        </is>
      </c>
      <c r="C9" t="inlineStr">
        <is>
          <t>Claim Head 6</t>
        </is>
      </c>
    </row>
    <row r="10">
      <c r="A10" t="inlineStr">
        <is>
          <t>Expressly excluded (Ilmatek Head D)</t>
        </is>
      </c>
      <c r="B10" t="inlineStr">
        <is>
          <t>EUR 12,400 settled via November valuation under A09-03</t>
        </is>
      </c>
      <c r="C10" t="inlineStr">
        <is>
          <t>Claim Head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3" t="inlineStr">
        <is>
          <t>Head 1 — Notice validity arithmetic (Rev C 20.2.2)</t>
        </is>
      </c>
    </row>
    <row r="3">
      <c r="A3" s="4" t="inlineStr">
        <is>
          <t>Item</t>
        </is>
      </c>
      <c r="B3" s="4" t="inlineStr">
        <is>
          <t>Date / days</t>
        </is>
      </c>
      <c r="C3" s="4" t="inlineStr">
        <is>
          <t>Source</t>
        </is>
      </c>
    </row>
    <row r="4">
      <c r="A4" t="inlineStr">
        <is>
          <t>Contractor aware of event</t>
        </is>
      </c>
      <c r="B4" s="5" t="inlineStr">
        <is>
          <t>2026-08-28</t>
        </is>
      </c>
      <c r="C4" t="inlineStr">
        <is>
          <t>PDC-LTR-PMC-014, header</t>
        </is>
      </c>
    </row>
    <row r="5">
      <c r="A5" t="inlineStr">
        <is>
          <t>Notice of Claim served</t>
        </is>
      </c>
      <c r="B5" s="5" t="inlineStr">
        <is>
          <t>2026-10-09</t>
        </is>
      </c>
      <c r="C5" t="inlineStr">
        <is>
          <t>PDC-NOT-009; PMC-021 §1</t>
        </is>
      </c>
    </row>
    <row r="6">
      <c r="A6" t="inlineStr">
        <is>
          <t>Engineer non-compliance response</t>
        </is>
      </c>
      <c r="B6" s="5" t="inlineStr">
        <is>
          <t>2026-10-28</t>
        </is>
      </c>
      <c r="C6" t="inlineStr">
        <is>
          <t>PDC-LTR-PMC-021, header</t>
        </is>
      </c>
    </row>
    <row r="7">
      <c r="A7" t="inlineStr">
        <is>
          <t>Days, aware → Notice</t>
        </is>
      </c>
      <c r="B7" s="6">
        <f>DATE(2026,10,9)-DATE(2026,8,28)</f>
        <v/>
      </c>
      <c r="C7" t="inlineStr">
        <is>
          <t>PMC-021 §3: '42 days'</t>
        </is>
      </c>
    </row>
    <row r="8">
      <c r="A8" t="inlineStr">
        <is>
          <t>Days, Notice → Engineer</t>
        </is>
      </c>
      <c r="B8" s="6">
        <f>DATE(2026,10,28)-DATE(2026,10,9)</f>
        <v/>
      </c>
      <c r="C8" t="inlineStr">
        <is>
          <t>arithmetic</t>
        </is>
      </c>
    </row>
    <row r="9">
      <c r="A9" t="inlineStr">
        <is>
          <t>20.2.2 window (days)</t>
        </is>
      </c>
      <c r="B9" s="6" t="n">
        <v>14</v>
      </c>
      <c r="C9" t="inlineStr">
        <is>
          <t>Rev C operative text, PDC-CX-009</t>
        </is>
      </c>
    </row>
    <row r="10">
      <c r="A10" s="11" t="inlineStr">
        <is>
          <t>Engineer response late by (days)</t>
        </is>
      </c>
      <c r="B10" s="19">
        <f>B8-B9</f>
        <v/>
      </c>
    </row>
    <row r="11">
      <c r="A11" t="inlineStr">
        <is>
          <t>Notice status under Rev C 20.2.2</t>
        </is>
      </c>
      <c r="B11" s="24" t="inlineStr">
        <is>
          <t>DEEMED VALID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2" customWidth="1" min="4" max="4"/>
    <col width="18" customWidth="1" min="5" max="5"/>
  </cols>
  <sheetData>
    <row r="1">
      <c r="A1" s="3" t="inlineStr">
        <is>
          <t>ST-1300 float geometry — Annex J summary</t>
        </is>
      </c>
    </row>
    <row r="2">
      <c r="A2" t="inlineStr">
        <is>
          <t>Source: Annex TIA engine output + add_wd boundary check</t>
        </is>
      </c>
    </row>
    <row r="4">
      <c r="A4" s="4" t="inlineStr">
        <is>
          <t>Activity</t>
        </is>
      </c>
      <c r="B4" s="4" t="inlineStr">
        <is>
          <t>Early start (wd)</t>
        </is>
      </c>
      <c r="C4" s="4" t="inlineStr">
        <is>
          <t>Early finish (wd)</t>
        </is>
      </c>
      <c r="D4" s="4" t="inlineStr">
        <is>
          <t>Latest permissible finish (wd, baseline)</t>
        </is>
      </c>
      <c r="E4" s="4" t="inlineStr">
        <is>
          <t>Total float (wd)</t>
        </is>
      </c>
    </row>
    <row r="5">
      <c r="A5" s="5" t="inlineStr">
        <is>
          <t>ST-1300</t>
        </is>
      </c>
      <c r="B5" s="6" t="n">
        <v>0</v>
      </c>
      <c r="C5" s="6" t="n">
        <v>30</v>
      </c>
      <c r="D5" s="6">
        <f>130-45</f>
        <v/>
      </c>
      <c r="E5" s="6">
        <f>D5-C5</f>
        <v/>
      </c>
    </row>
    <row r="6">
      <c r="A6" s="5" t="inlineStr">
        <is>
          <t>IL-1600</t>
        </is>
      </c>
      <c r="B6" s="6">
        <f>C5</f>
        <v/>
      </c>
      <c r="C6" s="6">
        <f>C5+45</f>
        <v/>
      </c>
      <c r="D6" s="6" t="n">
        <v>130</v>
      </c>
      <c r="E6" s="6">
        <f>D6-C6</f>
        <v/>
      </c>
    </row>
    <row r="7">
      <c r="A7" s="5" t="inlineStr">
        <is>
          <t>ST-1310</t>
        </is>
      </c>
      <c r="B7" s="6" t="n">
        <v>130</v>
      </c>
      <c r="C7" s="6">
        <f>C7+35</f>
        <v/>
      </c>
      <c r="D7" s="6" t="n">
        <v>130</v>
      </c>
      <c r="E7" s="6">
        <f>D7-C7</f>
        <v/>
      </c>
    </row>
    <row r="8">
      <c r="A8" s="5" t="inlineStr">
        <is>
          <t>EN-110</t>
        </is>
      </c>
      <c r="B8" s="6" t="n">
        <v>130</v>
      </c>
      <c r="C8" s="6" t="n">
        <v>130</v>
      </c>
      <c r="D8" s="6" t="n">
        <v>130</v>
      </c>
      <c r="E8" s="6">
        <f>D8-C8</f>
        <v/>
      </c>
    </row>
    <row r="9">
      <c r="A9" s="5" t="inlineStr">
        <is>
          <t>ST-1400</t>
        </is>
      </c>
      <c r="B9" s="6">
        <f>C7</f>
        <v/>
      </c>
      <c r="C9" s="6">
        <f>C7+35+20</f>
        <v/>
      </c>
      <c r="D9" s="6">
        <f>C7</f>
        <v/>
      </c>
      <c r="E9" s="6">
        <f>D9-C9</f>
        <v/>
      </c>
    </row>
    <row r="10">
      <c r="A10" s="5" t="inlineStr">
        <is>
          <t>MS_END</t>
        </is>
      </c>
      <c r="B10" s="6">
        <f>C9</f>
        <v/>
      </c>
      <c r="C10" s="6">
        <f>C9</f>
        <v/>
      </c>
      <c r="D10" s="6">
        <f>C9</f>
        <v/>
      </c>
      <c r="E10" s="6">
        <f>D10-C10</f>
        <v/>
      </c>
    </row>
    <row r="12">
      <c r="A12" t="inlineStr">
        <is>
          <t>L4 slip forecast finish on ST-1300</t>
        </is>
      </c>
      <c r="C12" s="6">
        <f>30+9</f>
        <v/>
      </c>
    </row>
    <row r="13">
      <c r="A13" t="inlineStr">
        <is>
          <t>L4 slip forecast finish (day 39) &lt; latest finish (day 85)?</t>
        </is>
      </c>
      <c r="C13" s="5">
        <f>IF(C12&lt;D5,"YES — slip on float","NO")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Sourcing</t>
        </is>
      </c>
    </row>
    <row r="3">
      <c r="A3" s="4" t="inlineStr">
        <is>
          <t>Code</t>
        </is>
      </c>
      <c r="B3" s="4" t="inlineStr">
        <is>
          <t>Document</t>
        </is>
      </c>
    </row>
    <row r="4">
      <c r="A4" s="5" t="inlineStr">
        <is>
          <t>PDC-PROG-P09</t>
        </is>
      </c>
      <c r="B4" s="5" t="inlineStr">
        <is>
          <t>PDC-PROG-P09_Impact_Records_and_Preliminaries_Nov2026.xlsx — Period 09 progress pack</t>
        </is>
      </c>
    </row>
    <row r="5">
      <c r="A5" s="5" t="inlineStr">
        <is>
          <t>PDC-LAB-P08</t>
        </is>
      </c>
      <c r="B5" s="5" t="inlineStr">
        <is>
          <t>Period 08 site records + plant log TC-02 + TP-005 baseline float</t>
        </is>
      </c>
    </row>
    <row r="6">
      <c r="A6" s="5" t="inlineStr">
        <is>
          <t>PDC-LTR-PMC-014</t>
        </is>
      </c>
      <c r="B6" s="5" t="inlineStr">
        <is>
          <t>Letter, Employer's Representative, 28.08.2026 — 110 kV revised energisation</t>
        </is>
      </c>
    </row>
    <row r="7">
      <c r="A7" s="5" t="inlineStr">
        <is>
          <t>PDC-NOT-009</t>
        </is>
      </c>
      <c r="B7" s="5" t="inlineStr">
        <is>
          <t>Notice of Claim, 09.10.2026 — Sub-Clause 20.2.1</t>
        </is>
      </c>
    </row>
    <row r="8">
      <c r="A8" s="5" t="inlineStr">
        <is>
          <t>PDC-LTR-PMC-021</t>
        </is>
      </c>
      <c r="B8" s="5" t="inlineStr">
        <is>
          <t>Letter, Engineer, 28.10.2026 — Notice validity (response)</t>
        </is>
      </c>
    </row>
    <row r="9">
      <c r="A9" s="5" t="inlineStr">
        <is>
          <t>PDC-CX-009</t>
        </is>
      </c>
      <c r="B9" s="5" t="inlineStr">
        <is>
          <t>Operative-text file note, 25.11.2026 — Sub-Clauses 20.2.1 and 20.2.2 reinstated in full under Rev C</t>
        </is>
      </c>
    </row>
    <row r="10">
      <c r="A10" s="5" t="inlineStr">
        <is>
          <t>PDC-PC-001 Rev C</t>
        </is>
      </c>
      <c r="B10" s="5" t="inlineStr">
        <is>
          <t>Particular Conditions, Rev C, issued for execution 24.02.2026</t>
        </is>
      </c>
    </row>
    <row r="11">
      <c r="A11" s="5" t="inlineStr">
        <is>
          <t>PDC-MIN-P09</t>
        </is>
      </c>
      <c r="B11" s="5" t="inlineStr">
        <is>
          <t>Site Progress Meeting No. 9, 24.11.2026 — actions A09-01, A09-03</t>
        </is>
      </c>
    </row>
    <row r="12">
      <c r="A12" s="5" t="inlineStr">
        <is>
          <t>PDC-SUB-005 Rev 1</t>
        </is>
      </c>
      <c r="B12" s="5" t="inlineStr">
        <is>
          <t>Ilmatek TP-005 Subcontract, Rev 1 — Clauses 1.3 and 4.3</t>
        </is>
      </c>
    </row>
    <row r="13">
      <c r="A13" s="5" t="inlineStr">
        <is>
          <t>PDC-CLM-005-001</t>
        </is>
      </c>
      <c r="B13" s="5" t="inlineStr">
        <is>
          <t>Ilmatek ILM-CLM-001 claim workbook, 16.10.2026 — Statement of Claim paragraphs 4 and 6; Quantum rows Q2 and 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2026-08-11T15:09:32Z</dcterms:created>
  <dcterms:modified xmlns:dcterms="http://purl.org/dc/terms/" xmlns:xsi="http://www.w3.org/2001/XMLSchema-instance" xsi:type="dcterms:W3CDTF">2026-08-11T15:09:32Z</dcterms:modified>
</cp:coreProperties>
</file>