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Analogs" sheetId="1" state="visible" r:id="rId1"/>
    <sheet xmlns:r="http://schemas.openxmlformats.org/officeDocument/2006/relationships" name="Polaris Durations" sheetId="2" state="visible" r:id="rId2"/>
    <sheet xmlns:r="http://schemas.openxmlformats.org/officeDocument/2006/relationships" name="Cost Mapping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name val="Calibri"/>
      <i val="1"/>
      <color rgb="00666666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165" fontId="3" fillId="4" borderId="1" pivotButton="0" quotePrefix="0" xfId="0"/>
    <xf numFmtId="1" fontId="3" fillId="4" borderId="1" pivotButton="0" quotePrefix="0" xfId="0"/>
    <xf numFmtId="9" fontId="3" fillId="5" borderId="1" pivotButton="0" quotePrefix="0" xfId="0"/>
    <xf numFmtId="0" fontId="4" fillId="0" borderId="1" pivotButton="0" quotePrefix="0" xfId="0"/>
    <xf numFmtId="0" fontId="5" fillId="5" borderId="1" pivotButton="0" quotePrefix="0" xfId="0"/>
    <xf numFmtId="9" fontId="5" fillId="5" borderId="1" pivotButton="0" quotePrefix="0" xfId="0"/>
    <xf numFmtId="3" fontId="3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  <col width="16" customWidth="1" min="4" max="4"/>
    <col width="10" customWidth="1" min="5" max="5"/>
    <col width="14" customWidth="1" min="6" max="6"/>
    <col width="8" customWidth="1" min="7" max="7"/>
    <col width="14" customWidth="1" min="8" max="8"/>
    <col width="14" customWidth="1" min="9" max="9"/>
    <col width="20" customWidth="1" min="10" max="10"/>
    <col width="20" customWidth="1" min="11" max="11"/>
    <col width="18" customWidth="1" min="12" max="12"/>
  </cols>
  <sheetData>
    <row r="1">
      <c r="A1" s="1" t="inlineStr">
        <is>
          <t>HISTORICAL PRODUCTIVITY RATES — NORD BUILD DATABASE (ev_1)</t>
        </is>
      </c>
    </row>
    <row r="3">
      <c r="A3" s="2" t="inlineStr">
        <is>
          <t>Evidence ID</t>
        </is>
      </c>
      <c r="B3" s="2" t="inlineStr">
        <is>
          <t>Project</t>
        </is>
      </c>
      <c r="C3" s="2" t="inlineStr">
        <is>
          <t>Activity</t>
        </is>
      </c>
      <c r="D3" s="2" t="inlineStr">
        <is>
          <t>Trade Group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Crews</t>
        </is>
      </c>
      <c r="H3" s="2" t="inlineStr">
        <is>
          <t>Members/Crew</t>
        </is>
      </c>
      <c r="I3" s="2" t="inlineStr">
        <is>
          <t>Duration (wd)</t>
        </is>
      </c>
      <c r="J3" s="2" t="inlineStr">
        <is>
          <t>Man-Hours</t>
        </is>
      </c>
      <c r="K3" s="2" t="inlineStr">
        <is>
          <t>Productivity Rate</t>
        </is>
      </c>
      <c r="L3" s="2" t="inlineStr">
        <is>
          <t>Rate Unit</t>
        </is>
      </c>
    </row>
    <row r="4">
      <c r="A4" s="3" t="inlineStr">
        <is>
          <t>hist-prj-001-act-132</t>
        </is>
      </c>
      <c r="B4" s="3" t="inlineStr">
        <is>
          <t>PRJ-001 Helsinki</t>
        </is>
      </c>
      <c r="C4" s="3" t="inlineStr">
        <is>
          <t>Bulk Earthworks &amp; Rough Grading</t>
        </is>
      </c>
      <c r="D4" s="3" t="inlineStr">
        <is>
          <t>Earthworks</t>
        </is>
      </c>
      <c r="E4" s="3" t="n">
        <v>2500</v>
      </c>
      <c r="F4" s="3" t="inlineStr">
        <is>
          <t>m³</t>
        </is>
      </c>
      <c r="G4" s="4" t="n">
        <v>2</v>
      </c>
      <c r="H4" s="4" t="n">
        <v>8</v>
      </c>
      <c r="I4" s="4" t="n">
        <v>10</v>
      </c>
      <c r="J4" s="5">
        <f>G4*H4*I4*8</f>
        <v/>
      </c>
      <c r="K4" s="6">
        <f>IF(J4&gt;0,E4/J4,"")</f>
        <v/>
      </c>
      <c r="L4" s="3" t="inlineStr">
        <is>
          <t>m³/man-hr</t>
        </is>
      </c>
    </row>
    <row r="5">
      <c r="A5" s="3" t="inlineStr">
        <is>
          <t>hist-prj-001-act-137</t>
        </is>
      </c>
      <c r="B5" s="3" t="inlineStr">
        <is>
          <t>PRJ-001 Helsinki</t>
        </is>
      </c>
      <c r="C5" s="3" t="inlineStr">
        <is>
          <t>Basement Excavation &amp; Shoring</t>
        </is>
      </c>
      <c r="D5" s="3" t="inlineStr">
        <is>
          <t>Earthworks</t>
        </is>
      </c>
      <c r="E5" s="3" t="n">
        <v>3000</v>
      </c>
      <c r="F5" s="3" t="inlineStr">
        <is>
          <t>m³</t>
        </is>
      </c>
      <c r="G5" s="4" t="n">
        <v>2</v>
      </c>
      <c r="H5" s="4" t="n">
        <v>8</v>
      </c>
      <c r="I5" s="4" t="n">
        <v>15</v>
      </c>
      <c r="J5" s="5">
        <f>G5*H5*I5*8</f>
        <v/>
      </c>
      <c r="K5" s="6">
        <f>IF(J5&gt;0,E5/J5,"")</f>
        <v/>
      </c>
      <c r="L5" s="3" t="inlineStr">
        <is>
          <t>m³/man-hr</t>
        </is>
      </c>
    </row>
    <row r="6">
      <c r="A6" s="3" t="inlineStr">
        <is>
          <t>hist-prj-001-act-137</t>
        </is>
      </c>
      <c r="B6" s="3" t="inlineStr">
        <is>
          <t>PRJ-001 Helsinki</t>
        </is>
      </c>
      <c r="C6" s="3" t="inlineStr">
        <is>
          <t>Rock Excavation (blasting -20%)</t>
        </is>
      </c>
      <c r="D6" s="3" t="inlineStr">
        <is>
          <t>Blasting</t>
        </is>
      </c>
      <c r="E6" s="3" t="n">
        <v>3000</v>
      </c>
      <c r="F6" s="3" t="inlineStr">
        <is>
          <t>m³ rock</t>
        </is>
      </c>
      <c r="G6" s="4" t="n">
        <v>2</v>
      </c>
      <c r="H6" s="4" t="n">
        <v>8</v>
      </c>
      <c r="I6" s="4" t="n">
        <v>19</v>
      </c>
      <c r="J6" s="5">
        <f>G6*H6*I6*8</f>
        <v/>
      </c>
      <c r="K6" s="6">
        <f>IF(J6&gt;0,E6/J6,"")</f>
        <v/>
      </c>
      <c r="L6" s="3" t="inlineStr">
        <is>
          <t>m³ rock/man-hr</t>
        </is>
      </c>
    </row>
    <row r="7">
      <c r="A7" s="3" t="inlineStr">
        <is>
          <t>hist-prj-001-act-134</t>
        </is>
      </c>
      <c r="B7" s="3" t="inlineStr">
        <is>
          <t>PRJ-001 Helsinki</t>
        </is>
      </c>
      <c r="C7" s="3" t="inlineStr">
        <is>
          <t>Rock-Socketed Bored Piles</t>
        </is>
      </c>
      <c r="D7" s="3" t="inlineStr">
        <is>
          <t>Piling</t>
        </is>
      </c>
      <c r="E7" s="3" t="n">
        <v>100</v>
      </c>
      <c r="F7" s="3" t="inlineStr">
        <is>
          <t>piles</t>
        </is>
      </c>
      <c r="G7" s="4" t="n">
        <v>2</v>
      </c>
      <c r="H7" s="4" t="n">
        <v>6</v>
      </c>
      <c r="I7" s="4" t="n">
        <v>30</v>
      </c>
      <c r="J7" s="5">
        <f>G7*H7*I7*8</f>
        <v/>
      </c>
      <c r="K7" s="6">
        <f>IF(J7&gt;0,E7/J7,"")</f>
        <v/>
      </c>
      <c r="L7" s="3" t="inlineStr">
        <is>
          <t>piles/man-hr</t>
        </is>
      </c>
    </row>
    <row r="8">
      <c r="A8" s="3" t="inlineStr">
        <is>
          <t>hist-prj-004-act-138</t>
        </is>
      </c>
      <c r="B8" s="3" t="inlineStr">
        <is>
          <t>PRJ-004 Helsinki</t>
        </is>
      </c>
      <c r="C8" s="3" t="inlineStr">
        <is>
          <t>Rock-Socketed Bored Piles</t>
        </is>
      </c>
      <c r="D8" s="3" t="inlineStr">
        <is>
          <t>Piling</t>
        </is>
      </c>
      <c r="E8" s="3" t="n">
        <v>100</v>
      </c>
      <c r="F8" s="3" t="inlineStr">
        <is>
          <t>piles</t>
        </is>
      </c>
      <c r="G8" s="4" t="n">
        <v>2</v>
      </c>
      <c r="H8" s="4" t="n">
        <v>6</v>
      </c>
      <c r="I8" s="4" t="n">
        <v>30</v>
      </c>
      <c r="J8" s="5">
        <f>G8*H8*I8*8</f>
        <v/>
      </c>
      <c r="K8" s="6">
        <f>IF(J8&gt;0,E8/J8,"")</f>
        <v/>
      </c>
      <c r="L8" s="3" t="inlineStr">
        <is>
          <t>piles/man-hr</t>
        </is>
      </c>
    </row>
    <row r="9">
      <c r="A9" s="3" t="inlineStr">
        <is>
          <t>hist-prj-001-act-140</t>
        </is>
      </c>
      <c r="B9" s="3" t="inlineStr">
        <is>
          <t>PRJ-001 Helsinki</t>
        </is>
      </c>
      <c r="C9" s="3" t="inlineStr">
        <is>
          <t>Pile Caps &amp; Ground Beams</t>
        </is>
      </c>
      <c r="D9" s="3" t="inlineStr">
        <is>
          <t>RC Frame</t>
        </is>
      </c>
      <c r="E9" s="3" t="n">
        <v>800</v>
      </c>
      <c r="F9" s="3" t="inlineStr">
        <is>
          <t>m³ RC</t>
        </is>
      </c>
      <c r="G9" s="4" t="n">
        <v>2</v>
      </c>
      <c r="H9" s="4" t="n">
        <v>8</v>
      </c>
      <c r="I9" s="4" t="n">
        <v>10</v>
      </c>
      <c r="J9" s="5">
        <f>G9*H9*I9*8</f>
        <v/>
      </c>
      <c r="K9" s="6">
        <f>IF(J9&gt;0,E9/J9,"")</f>
        <v/>
      </c>
      <c r="L9" s="3" t="inlineStr">
        <is>
          <t>m³ RC/man-hr</t>
        </is>
      </c>
    </row>
    <row r="10">
      <c r="A10" s="3" t="inlineStr">
        <is>
          <t>hist-prj-001-act-141</t>
        </is>
      </c>
      <c r="B10" s="3" t="inlineStr">
        <is>
          <t>PRJ-001 Helsinki</t>
        </is>
      </c>
      <c r="C10" s="3" t="inlineStr">
        <is>
          <t>Foundation Slab</t>
        </is>
      </c>
      <c r="D10" s="3" t="inlineStr">
        <is>
          <t>RC Frame</t>
        </is>
      </c>
      <c r="E10" s="3" t="n">
        <v>600</v>
      </c>
      <c r="F10" s="3" t="inlineStr">
        <is>
          <t>m³ RC</t>
        </is>
      </c>
      <c r="G10" s="4" t="n">
        <v>2</v>
      </c>
      <c r="H10" s="4" t="n">
        <v>8</v>
      </c>
      <c r="I10" s="4" t="n">
        <v>10</v>
      </c>
      <c r="J10" s="5">
        <f>G10*H10*I10*8</f>
        <v/>
      </c>
      <c r="K10" s="6">
        <f>IF(J10&gt;0,E10/J10,"")</f>
        <v/>
      </c>
      <c r="L10" s="3" t="inlineStr">
        <is>
          <t>m³ RC/man-hr</t>
        </is>
      </c>
    </row>
    <row r="11">
      <c r="A11" s="3" t="inlineStr">
        <is>
          <t>hist-prj-001-act-139</t>
        </is>
      </c>
      <c r="B11" s="3" t="inlineStr">
        <is>
          <t>PRJ-001 Helsinki</t>
        </is>
      </c>
      <c r="C11" s="3" t="inlineStr">
        <is>
          <t>Foundation Waterproofing</t>
        </is>
      </c>
      <c r="D11" s="3" t="inlineStr">
        <is>
          <t>Waterproofing</t>
        </is>
      </c>
      <c r="E11" s="3" t="n">
        <v>500</v>
      </c>
      <c r="F11" s="3" t="inlineStr">
        <is>
          <t>m²</t>
        </is>
      </c>
      <c r="G11" s="4" t="n">
        <v>1</v>
      </c>
      <c r="H11" s="4" t="n">
        <v>4</v>
      </c>
      <c r="I11" s="4" t="n">
        <v>5</v>
      </c>
      <c r="J11" s="5">
        <f>G11*H11*I11*8</f>
        <v/>
      </c>
      <c r="K11" s="6">
        <f>IF(J11&gt;0,E11/J11,"")</f>
        <v/>
      </c>
      <c r="L11" s="3" t="inlineStr">
        <is>
          <t>m²/man-hr</t>
        </is>
      </c>
    </row>
    <row r="12">
      <c r="A12" s="3" t="inlineStr">
        <is>
          <t>hist-prj-001-act-145</t>
        </is>
      </c>
      <c r="B12" s="3" t="inlineStr">
        <is>
          <t>PRJ-001 Helsinki</t>
        </is>
      </c>
      <c r="C12" s="3" t="inlineStr">
        <is>
          <t>Structural Frame (Floors 1-N)</t>
        </is>
      </c>
      <c r="D12" s="3" t="inlineStr">
        <is>
          <t>RC Frame</t>
        </is>
      </c>
      <c r="E12" s="3" t="n">
        <v>1800</v>
      </c>
      <c r="F12" s="3" t="inlineStr">
        <is>
          <t>m³ RC</t>
        </is>
      </c>
      <c r="G12" s="4" t="n">
        <v>2</v>
      </c>
      <c r="H12" s="4" t="n">
        <v>12</v>
      </c>
      <c r="I12" s="4" t="n">
        <v>45</v>
      </c>
      <c r="J12" s="5">
        <f>G12*H12*I12*8</f>
        <v/>
      </c>
      <c r="K12" s="6">
        <f>IF(J12&gt;0,E12/J12,"")</f>
        <v/>
      </c>
      <c r="L12" s="3" t="inlineStr">
        <is>
          <t>m³ RC/man-hr</t>
        </is>
      </c>
    </row>
    <row r="13">
      <c r="A13" s="3" t="inlineStr">
        <is>
          <t>hist-prj-001-act-146</t>
        </is>
      </c>
      <c r="B13" s="3" t="inlineStr">
        <is>
          <t>PRJ-001 Helsinki</t>
        </is>
      </c>
      <c r="C13" s="3" t="inlineStr">
        <is>
          <t>Precast Floor Planks</t>
        </is>
      </c>
      <c r="D13" s="3" t="inlineStr">
        <is>
          <t>Precast</t>
        </is>
      </c>
      <c r="E13" s="3" t="n">
        <v>4000</v>
      </c>
      <c r="F13" s="3" t="inlineStr">
        <is>
          <t>m²</t>
        </is>
      </c>
      <c r="G13" s="4" t="n">
        <v>2</v>
      </c>
      <c r="H13" s="4" t="n">
        <v>6</v>
      </c>
      <c r="I13" s="4" t="n">
        <v>30</v>
      </c>
      <c r="J13" s="5">
        <f>G13*H13*I13*8</f>
        <v/>
      </c>
      <c r="K13" s="6">
        <f>IF(J13&gt;0,E13/J13,"")</f>
        <v/>
      </c>
      <c r="L13" s="3" t="inlineStr">
        <is>
          <t>m²/man-hr</t>
        </is>
      </c>
    </row>
    <row r="14">
      <c r="A14" s="3" t="inlineStr">
        <is>
          <t>hist-prj-004-act-82</t>
        </is>
      </c>
      <c r="B14" s="3" t="inlineStr">
        <is>
          <t>PRJ-004 Helsinki</t>
        </is>
      </c>
      <c r="C14" s="3" t="inlineStr">
        <is>
          <t>Structural Steel — Fabrication</t>
        </is>
      </c>
      <c r="D14" s="3" t="inlineStr">
        <is>
          <t>Steel Fab.</t>
        </is>
      </c>
      <c r="E14" s="3" t="n">
        <v>1</v>
      </c>
      <c r="F14" s="3" t="inlineStr">
        <is>
          <t>LS</t>
        </is>
      </c>
      <c r="G14" s="4" t="n">
        <v>1</v>
      </c>
      <c r="H14" s="4" t="n">
        <v>12</v>
      </c>
      <c r="I14" s="4" t="n">
        <v>35</v>
      </c>
      <c r="J14" s="5">
        <f>G14*H14*I14*8</f>
        <v/>
      </c>
      <c r="K14" s="7" t="inlineStr">
        <is>
          <t>LS — use analog duration</t>
        </is>
      </c>
      <c r="L14" s="3" t="inlineStr">
        <is>
          <t>days directly</t>
        </is>
      </c>
    </row>
    <row r="15">
      <c r="A15" s="3" t="inlineStr">
        <is>
          <t>hist-prj-004-act-148</t>
        </is>
      </c>
      <c r="B15" s="3" t="inlineStr">
        <is>
          <t>PRJ-004 Helsinki</t>
        </is>
      </c>
      <c r="C15" s="3" t="inlineStr">
        <is>
          <t>Ground Floor Steel Erection</t>
        </is>
      </c>
      <c r="D15" s="3" t="inlineStr">
        <is>
          <t>Steel Erection</t>
        </is>
      </c>
      <c r="E15" s="3" t="n">
        <v>1</v>
      </c>
      <c r="F15" s="3" t="inlineStr">
        <is>
          <t>LS</t>
        </is>
      </c>
      <c r="G15" s="4" t="n">
        <v>2</v>
      </c>
      <c r="H15" s="4" t="n">
        <v>8</v>
      </c>
      <c r="I15" s="4" t="n">
        <v>8</v>
      </c>
      <c r="J15" s="5">
        <f>G15*H15*I15*8</f>
        <v/>
      </c>
      <c r="K15" s="7" t="inlineStr">
        <is>
          <t>LS — use analog duration</t>
        </is>
      </c>
      <c r="L15" s="3" t="inlineStr">
        <is>
          <t>days directly</t>
        </is>
      </c>
    </row>
    <row r="16">
      <c r="A16" s="3" t="inlineStr">
        <is>
          <t>hist-prj-004-act-149</t>
        </is>
      </c>
      <c r="B16" s="3" t="inlineStr">
        <is>
          <t>PRJ-004 Helsinki</t>
        </is>
      </c>
      <c r="C16" s="3" t="inlineStr">
        <is>
          <t>Upper Floor &amp; Roof Steel</t>
        </is>
      </c>
      <c r="D16" s="3" t="inlineStr">
        <is>
          <t>Steel Erection</t>
        </is>
      </c>
      <c r="E16" s="3" t="n">
        <v>1</v>
      </c>
      <c r="F16" s="3" t="inlineStr">
        <is>
          <t>LS</t>
        </is>
      </c>
      <c r="G16" s="4" t="n">
        <v>2</v>
      </c>
      <c r="H16" s="4" t="n">
        <v>10</v>
      </c>
      <c r="I16" s="4" t="n">
        <v>40</v>
      </c>
      <c r="J16" s="5">
        <f>G16*H16*I16*8</f>
        <v/>
      </c>
      <c r="K16" s="7" t="inlineStr">
        <is>
          <t>LS — use analog duration</t>
        </is>
      </c>
      <c r="L16" s="3" t="inlineStr">
        <is>
          <t>days directly</t>
        </is>
      </c>
    </row>
    <row r="17">
      <c r="A17" s="3" t="inlineStr">
        <is>
          <t>hist-prj-001-act-150</t>
        </is>
      </c>
      <c r="B17" s="3" t="inlineStr">
        <is>
          <t>PRJ-001 Helsinki</t>
        </is>
      </c>
      <c r="C17" s="3" t="inlineStr">
        <is>
          <t>Ext Wall Thermal Insulation</t>
        </is>
      </c>
      <c r="D17" s="3" t="inlineStr">
        <is>
          <t>Envelope</t>
        </is>
      </c>
      <c r="E17" s="3" t="n">
        <v>3500</v>
      </c>
      <c r="F17" s="3" t="inlineStr">
        <is>
          <t>m²</t>
        </is>
      </c>
      <c r="G17" s="4" t="n">
        <v>1</v>
      </c>
      <c r="H17" s="4" t="n">
        <v>6</v>
      </c>
      <c r="I17" s="4" t="n">
        <v>20</v>
      </c>
      <c r="J17" s="5">
        <f>G17*H17*I17*8</f>
        <v/>
      </c>
      <c r="K17" s="6">
        <f>IF(J17&gt;0,E17/J17,"")</f>
        <v/>
      </c>
      <c r="L17" s="3" t="inlineStr">
        <is>
          <t>m²/man-hr</t>
        </is>
      </c>
    </row>
    <row r="18">
      <c r="A18" s="3" t="inlineStr">
        <is>
          <t>hist-prj-001-act-153</t>
        </is>
      </c>
      <c r="B18" s="3" t="inlineStr">
        <is>
          <t>PRJ-001 Helsinki</t>
        </is>
      </c>
      <c r="C18" s="3" t="inlineStr">
        <is>
          <t>Roof Waterproofing</t>
        </is>
      </c>
      <c r="D18" s="3" t="inlineStr">
        <is>
          <t>Roofing</t>
        </is>
      </c>
      <c r="E18" s="3" t="n">
        <v>1200</v>
      </c>
      <c r="F18" s="3" t="inlineStr">
        <is>
          <t>m²</t>
        </is>
      </c>
      <c r="G18" s="4" t="n">
        <v>1</v>
      </c>
      <c r="H18" s="4" t="n">
        <v>4</v>
      </c>
      <c r="I18" s="4" t="n">
        <v>8</v>
      </c>
      <c r="J18" s="5">
        <f>G18*H18*I18*8</f>
        <v/>
      </c>
      <c r="K18" s="6">
        <f>IF(J18&gt;0,E18/J18,"")</f>
        <v/>
      </c>
      <c r="L18" s="3" t="inlineStr">
        <is>
          <t>m²/man-hr</t>
        </is>
      </c>
    </row>
    <row r="19">
      <c r="A19" s="3" t="inlineStr">
        <is>
          <t>hist-prj-001-act-154</t>
        </is>
      </c>
      <c r="B19" s="3" t="inlineStr">
        <is>
          <t>PRJ-001 Helsinki</t>
        </is>
      </c>
      <c r="C19" s="3" t="inlineStr">
        <is>
          <t>Roof Insulation &amp; Finishing</t>
        </is>
      </c>
      <c r="D19" s="3" t="inlineStr">
        <is>
          <t>Roofing</t>
        </is>
      </c>
      <c r="E19" s="3" t="n">
        <v>1200</v>
      </c>
      <c r="F19" s="3" t="inlineStr">
        <is>
          <t>m²</t>
        </is>
      </c>
      <c r="G19" s="4" t="n">
        <v>1</v>
      </c>
      <c r="H19" s="4" t="n">
        <v>4</v>
      </c>
      <c r="I19" s="4" t="n">
        <v>5</v>
      </c>
      <c r="J19" s="5">
        <f>G19*H19*I19*8</f>
        <v/>
      </c>
      <c r="K19" s="6">
        <f>IF(J19&gt;0,E19/J19,"")</f>
        <v/>
      </c>
      <c r="L19" s="3" t="inlineStr">
        <is>
          <t>m²/man-hr</t>
        </is>
      </c>
    </row>
    <row r="20">
      <c r="A20" s="3" t="inlineStr">
        <is>
          <t>hist-prj-001-act-168</t>
        </is>
      </c>
      <c r="B20" s="3" t="inlineStr">
        <is>
          <t>PRJ-001 Helsinki</t>
        </is>
      </c>
      <c r="C20" s="3" t="inlineStr">
        <is>
          <t>Riser Piping (Htg &amp; Clg)</t>
        </is>
      </c>
      <c r="D20" s="3" t="inlineStr">
        <is>
          <t>Mech Pipe</t>
        </is>
      </c>
      <c r="E20" s="3" t="n">
        <v>600</v>
      </c>
      <c r="F20" s="3" t="inlineStr">
        <is>
          <t>lm</t>
        </is>
      </c>
      <c r="G20" s="4" t="n">
        <v>2</v>
      </c>
      <c r="H20" s="4" t="n">
        <v>6</v>
      </c>
      <c r="I20" s="4" t="n">
        <v>20</v>
      </c>
      <c r="J20" s="5">
        <f>G20*H20*I20*8</f>
        <v/>
      </c>
      <c r="K20" s="6">
        <f>IF(J20&gt;0,E20/J20,"")</f>
        <v/>
      </c>
      <c r="L20" s="3" t="inlineStr">
        <is>
          <t>lm/man-hr</t>
        </is>
      </c>
    </row>
    <row r="21">
      <c r="A21" s="3" t="inlineStr">
        <is>
          <t>hist-prj-001-act-169</t>
        </is>
      </c>
      <c r="B21" s="3" t="inlineStr">
        <is>
          <t>PRJ-001 Helsinki</t>
        </is>
      </c>
      <c r="C21" s="3" t="inlineStr">
        <is>
          <t>HVAC Ductwork — Lower Floors</t>
        </is>
      </c>
      <c r="D21" s="3" t="inlineStr">
        <is>
          <t>Mech HVAC</t>
        </is>
      </c>
      <c r="E21" s="3" t="n">
        <v>2000</v>
      </c>
      <c r="F21" s="3" t="inlineStr">
        <is>
          <t>m² duct</t>
        </is>
      </c>
      <c r="G21" s="4" t="n">
        <v>2</v>
      </c>
      <c r="H21" s="4" t="n">
        <v>8</v>
      </c>
      <c r="I21" s="4" t="n">
        <v>20</v>
      </c>
      <c r="J21" s="5">
        <f>G21*H21*I21*8</f>
        <v/>
      </c>
      <c r="K21" s="6">
        <f>IF(J21&gt;0,E21/J21,"")</f>
        <v/>
      </c>
      <c r="L21" s="3" t="inlineStr">
        <is>
          <t>m² duct/man-hr</t>
        </is>
      </c>
    </row>
    <row r="22">
      <c r="A22" s="3" t="inlineStr">
        <is>
          <t>hist-prj-001-act-170</t>
        </is>
      </c>
      <c r="B22" s="3" t="inlineStr">
        <is>
          <t>PRJ-001 Helsinki</t>
        </is>
      </c>
      <c r="C22" s="3" t="inlineStr">
        <is>
          <t>Chiller/CRAH Install (per unit)</t>
        </is>
      </c>
      <c r="D22" s="3" t="inlineStr">
        <is>
          <t>Mech HVAC</t>
        </is>
      </c>
      <c r="E22" s="3" t="n">
        <v>1</v>
      </c>
      <c r="F22" s="3" t="inlineStr">
        <is>
          <t>unit</t>
        </is>
      </c>
      <c r="G22" s="4" t="n">
        <v>1</v>
      </c>
      <c r="H22" s="4" t="n">
        <v>4</v>
      </c>
      <c r="I22" s="4" t="n">
        <v>5</v>
      </c>
      <c r="J22" s="5">
        <f>G22*H22*I22*8</f>
        <v/>
      </c>
      <c r="K22" s="7" t="inlineStr">
        <is>
          <t>LS — use analog duration</t>
        </is>
      </c>
      <c r="L22" s="3" t="inlineStr">
        <is>
          <t>days directly</t>
        </is>
      </c>
    </row>
    <row r="23">
      <c r="A23" s="3" t="inlineStr">
        <is>
          <t>hist-prj-001-act-183</t>
        </is>
      </c>
      <c r="B23" s="3" t="inlineStr">
        <is>
          <t>PRJ-001 Helsinki</t>
        </is>
      </c>
      <c r="C23" s="3" t="inlineStr">
        <is>
          <t>Cable Trays &amp; Containment</t>
        </is>
      </c>
      <c r="D23" s="3" t="inlineStr">
        <is>
          <t>Electrical</t>
        </is>
      </c>
      <c r="E23" s="3" t="n">
        <v>1</v>
      </c>
      <c r="F23" s="3" t="inlineStr">
        <is>
          <t>LS</t>
        </is>
      </c>
      <c r="G23" s="4" t="n">
        <v>2</v>
      </c>
      <c r="H23" s="4" t="n">
        <v>8</v>
      </c>
      <c r="I23" s="4" t="n">
        <v>25</v>
      </c>
      <c r="J23" s="5">
        <f>G23*H23*I23*8</f>
        <v/>
      </c>
      <c r="K23" s="7" t="inlineStr">
        <is>
          <t>LS — use analog duration</t>
        </is>
      </c>
      <c r="L23" s="3" t="inlineStr">
        <is>
          <t>days directly</t>
        </is>
      </c>
    </row>
    <row r="24">
      <c r="A24" s="3" t="inlineStr">
        <is>
          <t>hist-prj-001-act-184</t>
        </is>
      </c>
      <c r="B24" s="3" t="inlineStr">
        <is>
          <t>PRJ-001 Helsinki</t>
        </is>
      </c>
      <c r="C24" s="3" t="inlineStr">
        <is>
          <t>Main Power Feeder Cables</t>
        </is>
      </c>
      <c r="D24" s="3" t="inlineStr">
        <is>
          <t>Electrical</t>
        </is>
      </c>
      <c r="E24" s="3" t="n">
        <v>1</v>
      </c>
      <c r="F24" s="3" t="inlineStr">
        <is>
          <t>LS</t>
        </is>
      </c>
      <c r="G24" s="4" t="n">
        <v>2</v>
      </c>
      <c r="H24" s="4" t="n">
        <v>6</v>
      </c>
      <c r="I24" s="4" t="n">
        <v>10</v>
      </c>
      <c r="J24" s="5">
        <f>G24*H24*I24*8</f>
        <v/>
      </c>
      <c r="K24" s="7" t="inlineStr">
        <is>
          <t>LS — use analog duration</t>
        </is>
      </c>
      <c r="L24" s="3" t="inlineStr">
        <is>
          <t>days directly</t>
        </is>
      </c>
    </row>
    <row r="25">
      <c r="A25" s="3" t="inlineStr">
        <is>
          <t>hist-prj-001-act-185</t>
        </is>
      </c>
      <c r="B25" s="3" t="inlineStr">
        <is>
          <t>PRJ-001 Helsinki</t>
        </is>
      </c>
      <c r="C25" s="3" t="inlineStr">
        <is>
          <t>Distribution Boards</t>
        </is>
      </c>
      <c r="D25" s="3" t="inlineStr">
        <is>
          <t>Electrical</t>
        </is>
      </c>
      <c r="E25" s="3" t="n">
        <v>1</v>
      </c>
      <c r="F25" s="3" t="inlineStr">
        <is>
          <t>LS</t>
        </is>
      </c>
      <c r="G25" s="4" t="n">
        <v>2</v>
      </c>
      <c r="H25" s="4" t="n">
        <v>6</v>
      </c>
      <c r="I25" s="4" t="n">
        <v>10</v>
      </c>
      <c r="J25" s="5">
        <f>G25*H25*I25*8</f>
        <v/>
      </c>
      <c r="K25" s="7" t="inlineStr">
        <is>
          <t>LS — use analog duration</t>
        </is>
      </c>
      <c r="L25" s="3" t="inlineStr">
        <is>
          <t>days directly</t>
        </is>
      </c>
    </row>
    <row r="26">
      <c r="A26" s="3" t="inlineStr">
        <is>
          <t>hist-prj-001-act-201</t>
        </is>
      </c>
      <c r="B26" s="3" t="inlineStr">
        <is>
          <t>PRJ-001 Helsinki</t>
        </is>
      </c>
      <c r="C26" s="3" t="inlineStr">
        <is>
          <t>Internal Partition Walls</t>
        </is>
      </c>
      <c r="D26" s="3" t="inlineStr">
        <is>
          <t>Fit-Out</t>
        </is>
      </c>
      <c r="E26" s="3" t="n">
        <v>4500</v>
      </c>
      <c r="F26" s="3" t="inlineStr">
        <is>
          <t>m²</t>
        </is>
      </c>
      <c r="G26" s="4" t="n">
        <v>2</v>
      </c>
      <c r="H26" s="4" t="n">
        <v>10</v>
      </c>
      <c r="I26" s="4" t="n">
        <v>20</v>
      </c>
      <c r="J26" s="5">
        <f>G26*H26*I26*8</f>
        <v/>
      </c>
      <c r="K26" s="6">
        <f>IF(J26&gt;0,E26/J26,"")</f>
        <v/>
      </c>
      <c r="L26" s="3" t="inlineStr">
        <is>
          <t>m²/man-hr</t>
        </is>
      </c>
    </row>
    <row r="27">
      <c r="A27" s="3" t="inlineStr">
        <is>
          <t>hist-prj-001-act-203</t>
        </is>
      </c>
      <c r="B27" s="3" t="inlineStr">
        <is>
          <t>PRJ-001 Helsinki</t>
        </is>
      </c>
      <c r="C27" s="3" t="inlineStr">
        <is>
          <t>Raised Access Flooring</t>
        </is>
      </c>
      <c r="D27" s="3" t="inlineStr">
        <is>
          <t>Fit-Out</t>
        </is>
      </c>
      <c r="E27" s="3" t="n">
        <v>3500</v>
      </c>
      <c r="F27" s="3" t="inlineStr">
        <is>
          <t>m²</t>
        </is>
      </c>
      <c r="G27" s="4" t="n">
        <v>1</v>
      </c>
      <c r="H27" s="4" t="n">
        <v>6</v>
      </c>
      <c r="I27" s="4" t="n">
        <v>10</v>
      </c>
      <c r="J27" s="5">
        <f>G27*H27*I27*8</f>
        <v/>
      </c>
      <c r="K27" s="6">
        <f>IF(J27&gt;0,E27/J27,"")</f>
        <v/>
      </c>
      <c r="L27" s="3" t="inlineStr">
        <is>
          <t>m²/man-hr</t>
        </is>
      </c>
    </row>
    <row r="28">
      <c r="A28" s="3" t="inlineStr">
        <is>
          <t>hist-prj-001-act-207</t>
        </is>
      </c>
      <c r="B28" s="3" t="inlineStr">
        <is>
          <t>PRJ-001 Helsinki</t>
        </is>
      </c>
      <c r="C28" s="3" t="inlineStr">
        <is>
          <t>Wall Finishes (Paint &amp; Tile)</t>
        </is>
      </c>
      <c r="D28" s="3" t="inlineStr">
        <is>
          <t>Fit-Out</t>
        </is>
      </c>
      <c r="E28" s="3" t="n">
        <v>5000</v>
      </c>
      <c r="F28" s="3" t="inlineStr">
        <is>
          <t>m²</t>
        </is>
      </c>
      <c r="G28" s="4" t="n">
        <v>2</v>
      </c>
      <c r="H28" s="4" t="n">
        <v>8</v>
      </c>
      <c r="I28" s="4" t="n">
        <v>15</v>
      </c>
      <c r="J28" s="5">
        <f>G28*H28*I28*8</f>
        <v/>
      </c>
      <c r="K28" s="6">
        <f>IF(J28&gt;0,E28/J28,"")</f>
        <v/>
      </c>
      <c r="L28" s="3" t="inlineStr">
        <is>
          <t>m²/man-hr</t>
        </is>
      </c>
    </row>
    <row r="29">
      <c r="A29" s="3" t="inlineStr">
        <is>
          <t>hist-prj-001-act-162</t>
        </is>
      </c>
      <c r="B29" s="3" t="inlineStr">
        <is>
          <t>PRJ-001 Helsinki</t>
        </is>
      </c>
      <c r="C29" s="3" t="inlineStr">
        <is>
          <t>Access Roads &amp; Paths</t>
        </is>
      </c>
      <c r="D29" s="3" t="inlineStr">
        <is>
          <t>External Works</t>
        </is>
      </c>
      <c r="E29" s="3" t="n">
        <v>500</v>
      </c>
      <c r="F29" s="3" t="inlineStr">
        <is>
          <t>lm</t>
        </is>
      </c>
      <c r="G29" s="4" t="n">
        <v>1</v>
      </c>
      <c r="H29" s="4" t="n">
        <v>6</v>
      </c>
      <c r="I29" s="4" t="n">
        <v>8</v>
      </c>
      <c r="J29" s="5">
        <f>G29*H29*I29*8</f>
        <v/>
      </c>
      <c r="K29" s="6">
        <f>IF(J29&gt;0,E29/J29,"")</f>
        <v/>
      </c>
      <c r="L29" s="3" t="inlineStr">
        <is>
          <t>lm/man-hr</t>
        </is>
      </c>
    </row>
    <row r="30">
      <c r="A30" s="3" t="inlineStr">
        <is>
          <t>hist-prj-001-act-164</t>
        </is>
      </c>
      <c r="B30" s="3" t="inlineStr">
        <is>
          <t>PRJ-001 Helsinki</t>
        </is>
      </c>
      <c r="C30" s="3" t="inlineStr">
        <is>
          <t>Landscaping</t>
        </is>
      </c>
      <c r="D30" s="3" t="inlineStr">
        <is>
          <t>External Works</t>
        </is>
      </c>
      <c r="E30" s="3" t="n">
        <v>800</v>
      </c>
      <c r="F30" s="3" t="inlineStr">
        <is>
          <t>m²</t>
        </is>
      </c>
      <c r="G30" s="4" t="n">
        <v>1</v>
      </c>
      <c r="H30" s="4" t="n">
        <v>4</v>
      </c>
      <c r="I30" s="4" t="n">
        <v>8</v>
      </c>
      <c r="J30" s="5">
        <f>G30*H30*I30*8</f>
        <v/>
      </c>
      <c r="K30" s="6">
        <f>IF(J30&gt;0,E30/J30,"")</f>
        <v/>
      </c>
      <c r="L30" s="3" t="inlineStr">
        <is>
          <t>m²/man-hr</t>
        </is>
      </c>
    </row>
    <row r="31">
      <c r="A31" s="3" t="inlineStr">
        <is>
          <t>hist-prj-001-act-215</t>
        </is>
      </c>
      <c r="B31" s="3" t="inlineStr">
        <is>
          <t>PRJ-001 Helsinki</t>
        </is>
      </c>
      <c r="C31" s="3" t="inlineStr">
        <is>
          <t>HVAC Commissioning</t>
        </is>
      </c>
      <c r="D31" s="3" t="inlineStr">
        <is>
          <t>Commissioning</t>
        </is>
      </c>
      <c r="E31" s="3" t="n">
        <v>1</v>
      </c>
      <c r="F31" s="3" t="inlineStr">
        <is>
          <t>LS</t>
        </is>
      </c>
      <c r="G31" s="4" t="n">
        <v>1</v>
      </c>
      <c r="H31" s="4" t="n">
        <v>6</v>
      </c>
      <c r="I31" s="4" t="n">
        <v>10</v>
      </c>
      <c r="J31" s="5">
        <f>G31*H31*I31*8</f>
        <v/>
      </c>
      <c r="K31" s="7" t="inlineStr">
        <is>
          <t>LS — use analog duration</t>
        </is>
      </c>
      <c r="L31" s="3" t="inlineStr">
        <is>
          <t>days directly</t>
        </is>
      </c>
    </row>
    <row r="32">
      <c r="A32" s="3" t="inlineStr">
        <is>
          <t>hist-prj-001-act-217</t>
        </is>
      </c>
      <c r="B32" s="3" t="inlineStr">
        <is>
          <t>PRJ-001 Helsinki</t>
        </is>
      </c>
      <c r="C32" s="3" t="inlineStr">
        <is>
          <t>Electrical Systems Testing</t>
        </is>
      </c>
      <c r="D32" s="3" t="inlineStr">
        <is>
          <t>Commissioning</t>
        </is>
      </c>
      <c r="E32" s="3" t="n">
        <v>1</v>
      </c>
      <c r="F32" s="3" t="inlineStr">
        <is>
          <t>LS</t>
        </is>
      </c>
      <c r="G32" s="4" t="n">
        <v>1</v>
      </c>
      <c r="H32" s="4" t="n">
        <v>4</v>
      </c>
      <c r="I32" s="4" t="n">
        <v>8</v>
      </c>
      <c r="J32" s="5">
        <f>G32*H32*I32*8</f>
        <v/>
      </c>
      <c r="K32" s="7" t="inlineStr">
        <is>
          <t>LS — use analog duration</t>
        </is>
      </c>
      <c r="L32" s="3" t="inlineStr">
        <is>
          <t>days directly</t>
        </is>
      </c>
    </row>
    <row r="33">
      <c r="A33" s="3" t="inlineStr">
        <is>
          <t>hist-prj-001-act-220</t>
        </is>
      </c>
      <c r="B33" s="3" t="inlineStr">
        <is>
          <t>PRJ-001 Helsinki</t>
        </is>
      </c>
      <c r="C33" s="3" t="inlineStr">
        <is>
          <t>BMS/BAS Integrated Test</t>
        </is>
      </c>
      <c r="D33" s="3" t="inlineStr">
        <is>
          <t>Commissioning</t>
        </is>
      </c>
      <c r="E33" s="3" t="n">
        <v>1</v>
      </c>
      <c r="F33" s="3" t="inlineStr">
        <is>
          <t>LS</t>
        </is>
      </c>
      <c r="G33" s="4" t="n">
        <v>1</v>
      </c>
      <c r="H33" s="4" t="n">
        <v>4</v>
      </c>
      <c r="I33" s="4" t="n">
        <v>8</v>
      </c>
      <c r="J33" s="5">
        <f>G33*H33*I33*8</f>
        <v/>
      </c>
      <c r="K33" s="7" t="inlineStr">
        <is>
          <t>LS — use analog duration</t>
        </is>
      </c>
      <c r="L33" s="3" t="inlineStr">
        <is>
          <t>days directly</t>
        </is>
      </c>
    </row>
    <row r="34">
      <c r="A34" s="3" t="inlineStr">
        <is>
          <t>hist-prj-001-act-218</t>
        </is>
      </c>
      <c r="B34" s="3" t="inlineStr">
        <is>
          <t>PRJ-001 Helsinki</t>
        </is>
      </c>
      <c r="C34" s="3" t="inlineStr">
        <is>
          <t>Fire Alarm Integrated Test</t>
        </is>
      </c>
      <c r="D34" s="3" t="inlineStr">
        <is>
          <t>Commissioning</t>
        </is>
      </c>
      <c r="E34" s="3" t="n">
        <v>1</v>
      </c>
      <c r="F34" s="3" t="inlineStr">
        <is>
          <t>LS</t>
        </is>
      </c>
      <c r="G34" s="4" t="n">
        <v>1</v>
      </c>
      <c r="H34" s="4" t="n">
        <v>3</v>
      </c>
      <c r="I34" s="4" t="n">
        <v>5</v>
      </c>
      <c r="J34" s="5">
        <f>G34*H34*I34*8</f>
        <v/>
      </c>
      <c r="K34" s="7" t="inlineStr">
        <is>
          <t>LS — use analog duration</t>
        </is>
      </c>
      <c r="L34" s="3" t="inlineStr">
        <is>
          <t>days directly</t>
        </is>
      </c>
    </row>
    <row r="35">
      <c r="A35" s="3" t="inlineStr">
        <is>
          <t>hist-prj-001-act-222</t>
        </is>
      </c>
      <c r="B35" s="3" t="inlineStr">
        <is>
          <t>PRJ-001 Helsinki</t>
        </is>
      </c>
      <c r="C35" s="3" t="inlineStr">
        <is>
          <t>Acoustic &amp; IEQ Testing</t>
        </is>
      </c>
      <c r="D35" s="3" t="inlineStr">
        <is>
          <t>Commissioning</t>
        </is>
      </c>
      <c r="E35" s="3" t="n">
        <v>1</v>
      </c>
      <c r="F35" s="3" t="inlineStr">
        <is>
          <t>LS</t>
        </is>
      </c>
      <c r="G35" s="4" t="n">
        <v>1</v>
      </c>
      <c r="H35" s="4" t="n">
        <v>3</v>
      </c>
      <c r="I35" s="4" t="n">
        <v>3</v>
      </c>
      <c r="J35" s="5">
        <f>G35*H35*I35*8</f>
        <v/>
      </c>
      <c r="K35" s="7" t="inlineStr">
        <is>
          <t>LS — use analog duration</t>
        </is>
      </c>
      <c r="L35" s="3" t="inlineStr">
        <is>
          <t>days directly</t>
        </is>
      </c>
    </row>
    <row r="38">
      <c r="A38" s="8" t="inlineStr">
        <is>
          <t>LEGEND:</t>
        </is>
      </c>
    </row>
    <row r="39">
      <c r="A39" s="4" t="inlineStr">
        <is>
          <t>Yellow = input</t>
        </is>
      </c>
      <c r="B39" s="3" t="inlineStr">
        <is>
          <t>Change → rate recalculates</t>
        </is>
      </c>
    </row>
    <row r="40">
      <c r="A40" s="9" t="inlineStr">
        <is>
          <t>Green = formula</t>
        </is>
      </c>
      <c r="B40" s="3" t="inlineStr">
        <is>
          <t>Live arithmetic</t>
        </is>
      </c>
    </row>
    <row r="41">
      <c r="A41" s="10" t="inlineStr">
        <is>
          <t>Orange = judgement</t>
        </is>
      </c>
      <c r="B41" s="3" t="inlineStr">
        <is>
          <t>LS or parameter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28" customWidth="1" min="4" max="4"/>
    <col width="10" customWidth="1" min="5" max="5"/>
    <col width="14" customWidth="1" min="6" max="6"/>
    <col width="16" customWidth="1" min="7" max="7"/>
    <col width="16" customWidth="1" min="8" max="8"/>
    <col width="8" customWidth="1" min="9" max="9"/>
    <col width="14" customWidth="1" min="10" max="10"/>
    <col width="10" customWidth="1" min="11" max="11"/>
    <col width="14" customWidth="1" min="12" max="12"/>
    <col width="14" customWidth="1" min="13" max="13"/>
    <col width="10" customWidth="1" min="14" max="14"/>
    <col width="14" customWidth="1" min="15" max="15"/>
    <col width="52" customWidth="1" min="16" max="16"/>
  </cols>
  <sheetData>
    <row r="1">
      <c r="A1" s="1" t="inlineStr">
        <is>
          <t>POLARIS DC-1 — DURATIONS COMPUTED FROM HISTORICAL PRODUCTIVITY RATES</t>
        </is>
      </c>
    </row>
    <row r="2">
      <c r="A2" s="11" t="inlineStr">
        <is>
          <t>Yellow = input · Green = formula · Orange = judgement · Change Margin % → all durations recalculate</t>
        </is>
      </c>
    </row>
    <row r="4">
      <c r="A4" s="2" t="inlineStr">
        <is>
          <t>Sched ID</t>
        </is>
      </c>
      <c r="B4" s="2" t="inlineStr">
        <is>
          <t>Activity</t>
        </is>
      </c>
      <c r="C4" s="2" t="inlineStr">
        <is>
          <t>Trade Group</t>
        </is>
      </c>
      <c r="D4" s="2" t="inlineStr">
        <is>
          <t>Analog Evidence ID</t>
        </is>
      </c>
      <c r="E4" s="2" t="inlineStr">
        <is>
          <t>BOQ Qty</t>
        </is>
      </c>
      <c r="F4" s="2" t="inlineStr">
        <is>
          <t>Unit</t>
        </is>
      </c>
      <c r="G4" s="2" t="inlineStr">
        <is>
          <t>Rate (per man-hr)</t>
        </is>
      </c>
      <c r="H4" s="2" t="inlineStr">
        <is>
          <t>Rate Unit</t>
        </is>
      </c>
      <c r="I4" s="2" t="inlineStr">
        <is>
          <t>Crews</t>
        </is>
      </c>
      <c r="J4" s="2" t="inlineStr">
        <is>
          <t>Members/Crew</t>
        </is>
      </c>
      <c r="K4" s="2" t="inlineStr">
        <is>
          <t>Hrs/Day</t>
        </is>
      </c>
      <c r="L4" s="2" t="inlineStr">
        <is>
          <t>Dur. Raw (wd)</t>
        </is>
      </c>
      <c r="M4" s="2" t="inlineStr">
        <is>
          <t>Dur. Base (wd)</t>
        </is>
      </c>
      <c r="N4" s="2" t="inlineStr">
        <is>
          <t>Margin %</t>
        </is>
      </c>
      <c r="O4" s="2" t="inlineStr">
        <is>
          <t>Dur. Final (wd)</t>
        </is>
      </c>
      <c r="P4" s="2" t="inlineStr">
        <is>
          <t>Notes</t>
        </is>
      </c>
    </row>
    <row r="5">
      <c r="A5" s="3" t="n">
        <v>40</v>
      </c>
      <c r="B5" s="3" t="inlineStr">
        <is>
          <t>Bulk Earthworks — Site Strip &amp; Cut</t>
        </is>
      </c>
      <c r="C5" s="3" t="inlineStr">
        <is>
          <t>Earthworks</t>
        </is>
      </c>
      <c r="D5" s="3" t="inlineStr">
        <is>
          <t>hist-prj-001-act-132</t>
        </is>
      </c>
      <c r="E5" s="4" t="n">
        <v>12000</v>
      </c>
      <c r="F5" s="3" t="inlineStr">
        <is>
          <t>m³</t>
        </is>
      </c>
      <c r="G5" s="9" t="n">
        <v>1.953</v>
      </c>
      <c r="H5" s="3" t="inlineStr">
        <is>
          <t>m³/man-hr</t>
        </is>
      </c>
      <c r="I5" s="4" t="n">
        <v>2</v>
      </c>
      <c r="J5" s="4" t="n">
        <v>8</v>
      </c>
      <c r="K5" s="4" t="n">
        <v>8</v>
      </c>
      <c r="L5" s="12">
        <f>IF(I5*J5*K5&gt;0,E5/(G5*I5*J5*K5),"")</f>
        <v/>
      </c>
      <c r="M5" s="13">
        <f>IF(L5&lt;&gt;"",ROUNDUP(L5,0),"")</f>
        <v/>
      </c>
      <c r="N5" s="14" t="inlineStr">
        <is>
          <t>$B$37</t>
        </is>
      </c>
      <c r="O5" s="13">
        <f>IF(M5&lt;&gt;"",ROUNDUP(M5*(1+N5),0),"")</f>
        <v/>
      </c>
      <c r="P5" s="15" t="inlineStr">
        <is>
          <t>12,000 m³. Rate from PRJ-001.</t>
        </is>
      </c>
    </row>
    <row r="6">
      <c r="A6" s="3" t="n">
        <v>41</v>
      </c>
      <c r="B6" s="3" t="inlineStr">
        <is>
          <t>Rock Excavation &amp; Blasting</t>
        </is>
      </c>
      <c r="C6" s="3" t="inlineStr">
        <is>
          <t>Blasting</t>
        </is>
      </c>
      <c r="D6" s="3" t="inlineStr">
        <is>
          <t>hist-prj-001-act-137</t>
        </is>
      </c>
      <c r="E6" s="4" t="n">
        <v>4500</v>
      </c>
      <c r="F6" s="3" t="inlineStr">
        <is>
          <t>m³ rock</t>
        </is>
      </c>
      <c r="G6" s="9" t="n">
        <v>1.25</v>
      </c>
      <c r="H6" s="3" t="inlineStr">
        <is>
          <t>m³/man-hr</t>
        </is>
      </c>
      <c r="I6" s="4" t="n">
        <v>2</v>
      </c>
      <c r="J6" s="4" t="n">
        <v>8</v>
      </c>
      <c r="K6" s="4" t="n">
        <v>8</v>
      </c>
      <c r="L6" s="12">
        <f>IF(I6*J6*K6&gt;0,E6/(G6*I6*J6*K6),"")</f>
        <v/>
      </c>
      <c r="M6" s="13">
        <f>IF(L6&lt;&gt;"",ROUNDUP(L6,0),"")</f>
        <v/>
      </c>
      <c r="N6" s="14" t="inlineStr">
        <is>
          <t>$B$37</t>
        </is>
      </c>
      <c r="O6" s="13">
        <f>IF(M6&lt;&gt;"",ROUNDUP(M6*(1+N6),0),"")</f>
        <v/>
      </c>
      <c r="P6" s="15" t="inlineStr">
        <is>
          <t>-20% vs excavation (blasting restricted hours)</t>
        </is>
      </c>
    </row>
    <row r="7">
      <c r="A7" s="3" t="n">
        <v>42</v>
      </c>
      <c r="B7" s="3" t="inlineStr">
        <is>
          <t>Trench Excavation — Site Services</t>
        </is>
      </c>
      <c r="C7" s="3" t="inlineStr">
        <is>
          <t>Earthworks</t>
        </is>
      </c>
      <c r="D7" s="3" t="inlineStr">
        <is>
          <t>hist-prj-001-act-137</t>
        </is>
      </c>
      <c r="E7" s="4" t="n">
        <v>2000</v>
      </c>
      <c r="F7" s="3" t="inlineStr">
        <is>
          <t>m³</t>
        </is>
      </c>
      <c r="G7" s="9" t="n">
        <v>1.563</v>
      </c>
      <c r="H7" s="3" t="inlineStr">
        <is>
          <t>m³/man-hr</t>
        </is>
      </c>
      <c r="I7" s="4" t="n">
        <v>1</v>
      </c>
      <c r="J7" s="4" t="n">
        <v>8</v>
      </c>
      <c r="K7" s="4" t="n">
        <v>8</v>
      </c>
      <c r="L7" s="12">
        <f>IF(I7*J7*K7&gt;0,E7/(G7*I7*J7*K7),"")</f>
        <v/>
      </c>
      <c r="M7" s="13">
        <f>IF(L7&lt;&gt;"",ROUNDUP(L7,0),"")</f>
        <v/>
      </c>
      <c r="N7" s="14" t="inlineStr">
        <is>
          <t>$B$37</t>
        </is>
      </c>
      <c r="O7" s="13">
        <f>IF(M7&lt;&gt;"",ROUNDUP(M7*(1+N7),0),"")</f>
        <v/>
      </c>
      <c r="P7" s="15" t="inlineStr">
        <is>
          <t>Service trenches</t>
        </is>
      </c>
    </row>
    <row r="8">
      <c r="A8" s="3" t="n">
        <v>50</v>
      </c>
      <c r="B8" s="3" t="inlineStr">
        <is>
          <t>DH1 — Rock-Socketed Bored Piles</t>
        </is>
      </c>
      <c r="C8" s="3" t="inlineStr">
        <is>
          <t>Piling</t>
        </is>
      </c>
      <c r="D8" s="3" t="inlineStr">
        <is>
          <t>hist-prj-001-act-134</t>
        </is>
      </c>
      <c r="E8" s="4" t="n">
        <v>40</v>
      </c>
      <c r="F8" s="3" t="inlineStr">
        <is>
          <t>piles</t>
        </is>
      </c>
      <c r="G8" s="9" t="n">
        <v>0.0347</v>
      </c>
      <c r="H8" s="3" t="inlineStr">
        <is>
          <t>piles/man-hr</t>
        </is>
      </c>
      <c r="I8" s="4" t="n">
        <v>2</v>
      </c>
      <c r="J8" s="4" t="n">
        <v>6</v>
      </c>
      <c r="K8" s="4" t="n">
        <v>8</v>
      </c>
      <c r="L8" s="12">
        <f>IF(I8*J8*K8&gt;0,E8/(G8*I8*J8*K8),"")</f>
        <v/>
      </c>
      <c r="M8" s="13">
        <f>IF(L8&lt;&gt;"",ROUNDUP(L8,0),"")</f>
        <v/>
      </c>
      <c r="N8" s="14" t="inlineStr">
        <is>
          <t>$B$37</t>
        </is>
      </c>
      <c r="O8" s="13">
        <f>IF(M8&lt;&gt;"",ROUNDUP(M8*(1+N8),0),"")</f>
        <v/>
      </c>
      <c r="P8" s="15" t="inlineStr">
        <is>
          <t>~40 piles/hall. 2 rigs at 1.67 piles/rig-day.</t>
        </is>
      </c>
    </row>
    <row r="9">
      <c r="A9" s="3" t="n">
        <v>54</v>
      </c>
      <c r="B9" s="3" t="inlineStr">
        <is>
          <t>DH1 Pile Caps &amp; Ground Beams</t>
        </is>
      </c>
      <c r="C9" s="3" t="inlineStr">
        <is>
          <t>RC Frame</t>
        </is>
      </c>
      <c r="D9" s="3" t="inlineStr">
        <is>
          <t>hist-prj-001-act-140</t>
        </is>
      </c>
      <c r="E9" s="4" t="n">
        <v>240</v>
      </c>
      <c r="F9" s="3" t="inlineStr">
        <is>
          <t>m³ RC</t>
        </is>
      </c>
      <c r="G9" s="9" t="n">
        <v>0.625</v>
      </c>
      <c r="H9" s="3" t="inlineStr">
        <is>
          <t>m³/man-hr</t>
        </is>
      </c>
      <c r="I9" s="4" t="n">
        <v>2</v>
      </c>
      <c r="J9" s="4" t="n">
        <v>8</v>
      </c>
      <c r="K9" s="4" t="n">
        <v>8</v>
      </c>
      <c r="L9" s="12">
        <f>IF(I9*J9*K9&gt;0,E9/(G9*I9*J9*K9),"")</f>
        <v/>
      </c>
      <c r="M9" s="13">
        <f>IF(L9&lt;&gt;"",ROUNDUP(L9,0),"")</f>
        <v/>
      </c>
      <c r="N9" s="14" t="inlineStr">
        <is>
          <t>$B$37</t>
        </is>
      </c>
      <c r="O9" s="13">
        <f>IF(M9&lt;&gt;"",ROUNDUP(M9*(1+N9),0),"")</f>
        <v/>
      </c>
      <c r="P9" s="15" t="inlineStr">
        <is>
          <t>~240 m³ per hall</t>
        </is>
      </c>
    </row>
    <row r="10">
      <c r="A10" s="3" t="n">
        <v>58</v>
      </c>
      <c r="B10" s="3" t="inlineStr">
        <is>
          <t>DH1 Foundation Waterproofing</t>
        </is>
      </c>
      <c r="C10" s="3" t="inlineStr">
        <is>
          <t>Waterproofing</t>
        </is>
      </c>
      <c r="D10" s="3" t="inlineStr">
        <is>
          <t>hist-prj-001-act-139</t>
        </is>
      </c>
      <c r="E10" s="4" t="n">
        <v>250</v>
      </c>
      <c r="F10" s="3" t="inlineStr">
        <is>
          <t>m²</t>
        </is>
      </c>
      <c r="G10" s="9" t="n">
        <v>3.125</v>
      </c>
      <c r="H10" s="3" t="inlineStr">
        <is>
          <t>m²/man-hr</t>
        </is>
      </c>
      <c r="I10" s="4" t="n">
        <v>1</v>
      </c>
      <c r="J10" s="4" t="n">
        <v>4</v>
      </c>
      <c r="K10" s="4" t="n">
        <v>8</v>
      </c>
      <c r="L10" s="12">
        <f>IF(I10*J10*K10&gt;0,E10/(G10*I10*J10*K10),"")</f>
        <v/>
      </c>
      <c r="M10" s="13">
        <f>IF(L10&lt;&gt;"",ROUNDUP(L10,0),"")</f>
        <v/>
      </c>
      <c r="N10" s="14" t="inlineStr">
        <is>
          <t>$B$37</t>
        </is>
      </c>
      <c r="O10" s="13">
        <f>IF(M10&lt;&gt;"",ROUNDUP(M10*(1+N10),0),"")</f>
        <v/>
      </c>
      <c r="P10" s="15" t="inlineStr">
        <is>
          <t>~250 m² per hall</t>
        </is>
      </c>
    </row>
    <row r="11">
      <c r="A11" s="3" t="n">
        <v>62</v>
      </c>
      <c r="B11" s="3" t="inlineStr">
        <is>
          <t>DH1 Ground Floor Slab</t>
        </is>
      </c>
      <c r="C11" s="3" t="inlineStr">
        <is>
          <t>RC Frame</t>
        </is>
      </c>
      <c r="D11" s="3" t="inlineStr">
        <is>
          <t>hist-prj-001-act-141</t>
        </is>
      </c>
      <c r="E11" s="4" t="n">
        <v>600</v>
      </c>
      <c r="F11" s="3" t="inlineStr">
        <is>
          <t>m³ RC</t>
        </is>
      </c>
      <c r="G11" s="9" t="n">
        <v>0.469</v>
      </c>
      <c r="H11" s="3" t="inlineStr">
        <is>
          <t>m³/man-hr</t>
        </is>
      </c>
      <c r="I11" s="4" t="n">
        <v>2</v>
      </c>
      <c r="J11" s="4" t="n">
        <v>8</v>
      </c>
      <c r="K11" s="4" t="n">
        <v>8</v>
      </c>
      <c r="L11" s="12">
        <f>IF(I11*J11*K11&gt;0,E11/(G11*I11*J11*K11),"")</f>
        <v/>
      </c>
      <c r="M11" s="13">
        <f>IF(L11&lt;&gt;"",ROUNDUP(L11,0),"")</f>
        <v/>
      </c>
      <c r="N11" s="14" t="inlineStr">
        <is>
          <t>$B$37</t>
        </is>
      </c>
      <c r="O11" s="13">
        <f>IF(M11&lt;&gt;"",ROUNDUP(M11*(1+N11),0),"")</f>
        <v/>
      </c>
      <c r="P11" s="15" t="inlineStr">
        <is>
          <t>~600 m³ per hall</t>
        </is>
      </c>
    </row>
    <row r="12">
      <c r="A12" s="3" t="n">
        <v>78</v>
      </c>
      <c r="B12" s="3" t="inlineStr">
        <is>
          <t>DH1 — Precast Plank Floors</t>
        </is>
      </c>
      <c r="C12" s="3" t="inlineStr">
        <is>
          <t>Precast</t>
        </is>
      </c>
      <c r="D12" s="3" t="inlineStr">
        <is>
          <t>hist-prj-001-act-146</t>
        </is>
      </c>
      <c r="E12" s="4" t="n">
        <v>3000</v>
      </c>
      <c r="F12" s="3" t="inlineStr">
        <is>
          <t>m²</t>
        </is>
      </c>
      <c r="G12" s="9" t="n">
        <v>1.389</v>
      </c>
      <c r="H12" s="3" t="inlineStr">
        <is>
          <t>m²/man-hr</t>
        </is>
      </c>
      <c r="I12" s="4" t="n">
        <v>2</v>
      </c>
      <c r="J12" s="4" t="n">
        <v>6</v>
      </c>
      <c r="K12" s="4" t="n">
        <v>8</v>
      </c>
      <c r="L12" s="12">
        <f>IF(I12*J12*K12&gt;0,E12/(G12*I12*J12*K12),"")</f>
        <v/>
      </c>
      <c r="M12" s="13">
        <f>IF(L12&lt;&gt;"",ROUNDUP(L12,0),"")</f>
        <v/>
      </c>
      <c r="N12" s="14" t="inlineStr">
        <is>
          <t>$B$37</t>
        </is>
      </c>
      <c r="O12" s="13">
        <f>IF(M12&lt;&gt;"",ROUNDUP(M12*(1+N12),0),"")</f>
        <v/>
      </c>
      <c r="P12" s="15" t="inlineStr">
        <is>
          <t>~3,000 m² per hall</t>
        </is>
      </c>
    </row>
    <row r="13">
      <c r="A13" s="3" t="n">
        <v>90</v>
      </c>
      <c r="B13" s="3" t="inlineStr">
        <is>
          <t>DH1 — Ext Wall Insulation &amp; Cladding</t>
        </is>
      </c>
      <c r="C13" s="3" t="inlineStr">
        <is>
          <t>Envelope</t>
        </is>
      </c>
      <c r="D13" s="3" t="inlineStr">
        <is>
          <t>hist-prj-001-act-150</t>
        </is>
      </c>
      <c r="E13" s="4" t="n">
        <v>2250</v>
      </c>
      <c r="F13" s="3" t="inlineStr">
        <is>
          <t>m²</t>
        </is>
      </c>
      <c r="G13" s="9" t="n">
        <v>3.646</v>
      </c>
      <c r="H13" s="3" t="inlineStr">
        <is>
          <t>m²/man-hr</t>
        </is>
      </c>
      <c r="I13" s="4" t="n">
        <v>2</v>
      </c>
      <c r="J13" s="4" t="n">
        <v>6</v>
      </c>
      <c r="K13" s="4" t="n">
        <v>8</v>
      </c>
      <c r="L13" s="12">
        <f>IF(I13*J13*K13&gt;0,E13/(G13*I13*J13*K13),"")</f>
        <v/>
      </c>
      <c r="M13" s="13">
        <f>IF(L13&lt;&gt;"",ROUNDUP(L13,0),"")</f>
        <v/>
      </c>
      <c r="N13" s="14" t="inlineStr">
        <is>
          <t>$B$37</t>
        </is>
      </c>
      <c r="O13" s="13">
        <f>IF(M13&lt;&gt;"",ROUNDUP(M13*(1+N13),0),"")</f>
        <v/>
      </c>
      <c r="P13" s="15" t="inlineStr">
        <is>
          <t>~2,250 m² per hall</t>
        </is>
      </c>
    </row>
    <row r="14">
      <c r="A14" s="3" t="n">
        <v>94</v>
      </c>
      <c r="B14" s="3" t="inlineStr">
        <is>
          <t>DH1 — Roof Waterproofing &amp; Insulation</t>
        </is>
      </c>
      <c r="C14" s="3" t="inlineStr">
        <is>
          <t>Roofing</t>
        </is>
      </c>
      <c r="D14" s="3" t="inlineStr">
        <is>
          <t>hist-prj-001-act-153</t>
        </is>
      </c>
      <c r="E14" s="4" t="n">
        <v>1500</v>
      </c>
      <c r="F14" s="3" t="inlineStr">
        <is>
          <t>m²</t>
        </is>
      </c>
      <c r="G14" s="9" t="n">
        <v>4.688</v>
      </c>
      <c r="H14" s="3" t="inlineStr">
        <is>
          <t>m²/man-hr</t>
        </is>
      </c>
      <c r="I14" s="4" t="n">
        <v>2</v>
      </c>
      <c r="J14" s="4" t="n">
        <v>4</v>
      </c>
      <c r="K14" s="4" t="n">
        <v>8</v>
      </c>
      <c r="L14" s="12">
        <f>IF(I14*J14*K14&gt;0,E14/(G14*I14*J14*K14),"")</f>
        <v/>
      </c>
      <c r="M14" s="13">
        <f>IF(L14&lt;&gt;"",ROUNDUP(L14,0),"")</f>
        <v/>
      </c>
      <c r="N14" s="14" t="inlineStr">
        <is>
          <t>$B$37</t>
        </is>
      </c>
      <c r="O14" s="13">
        <f>IF(M14&lt;&gt;"",ROUNDUP(M14*(1+N14),0),"")</f>
        <v/>
      </c>
      <c r="P14" s="15" t="inlineStr">
        <is>
          <t>~1,500 m² per hall</t>
        </is>
      </c>
    </row>
    <row r="15">
      <c r="A15" s="3" t="n">
        <v>114</v>
      </c>
      <c r="B15" s="3" t="inlineStr">
        <is>
          <t>DH1 — HVAC Ductwork &amp; AHU Install</t>
        </is>
      </c>
      <c r="C15" s="3" t="inlineStr">
        <is>
          <t>Mech HVAC</t>
        </is>
      </c>
      <c r="D15" s="3" t="inlineStr">
        <is>
          <t>hist-prj-001-act-169</t>
        </is>
      </c>
      <c r="E15" s="4" t="n">
        <v>2000</v>
      </c>
      <c r="F15" s="3" t="inlineStr">
        <is>
          <t>m² duct</t>
        </is>
      </c>
      <c r="G15" s="9" t="n">
        <v>0.781</v>
      </c>
      <c r="H15" s="3" t="inlineStr">
        <is>
          <t>m²/man-hr</t>
        </is>
      </c>
      <c r="I15" s="4" t="n">
        <v>2</v>
      </c>
      <c r="J15" s="4" t="n">
        <v>8</v>
      </c>
      <c r="K15" s="4" t="n">
        <v>8</v>
      </c>
      <c r="L15" s="12">
        <f>IF(I15*J15*K15&gt;0,E15/(G15*I15*J15*K15),"")</f>
        <v/>
      </c>
      <c r="M15" s="13">
        <f>IF(L15&lt;&gt;"",ROUNDUP(L15,0),"")</f>
        <v/>
      </c>
      <c r="N15" s="14" t="inlineStr">
        <is>
          <t>$B$37</t>
        </is>
      </c>
      <c r="O15" s="13">
        <f>IF(M15&lt;&gt;"",ROUNDUP(M15*(1+N15),0),"")</f>
        <v/>
      </c>
      <c r="P15" s="15" t="inlineStr">
        <is>
          <t>~2,000 m² per hall</t>
        </is>
      </c>
    </row>
    <row r="16">
      <c r="A16" s="3" t="n">
        <v>118</v>
      </c>
      <c r="B16" s="3" t="inlineStr">
        <is>
          <t>Cooling Spine — Pipework &amp; Distr.</t>
        </is>
      </c>
      <c r="C16" s="3" t="inlineStr">
        <is>
          <t>Mech Pipe</t>
        </is>
      </c>
      <c r="D16" s="3" t="inlineStr">
        <is>
          <t>hist-prj-001-act-168</t>
        </is>
      </c>
      <c r="E16" s="4" t="n">
        <v>1200</v>
      </c>
      <c r="F16" s="3" t="inlineStr">
        <is>
          <t>lm</t>
        </is>
      </c>
      <c r="G16" s="9" t="n">
        <v>0.313</v>
      </c>
      <c r="H16" s="3" t="inlineStr">
        <is>
          <t>lm/man-hr</t>
        </is>
      </c>
      <c r="I16" s="4" t="n">
        <v>2</v>
      </c>
      <c r="J16" s="4" t="n">
        <v>6</v>
      </c>
      <c r="K16" s="4" t="n">
        <v>8</v>
      </c>
      <c r="L16" s="12">
        <f>IF(I16*J16*K16&gt;0,E16/(G16*I16*J16*K16),"")</f>
        <v/>
      </c>
      <c r="M16" s="13">
        <f>IF(L16&lt;&gt;"",ROUNDUP(L16,0),"")</f>
        <v/>
      </c>
      <c r="N16" s="14" t="inlineStr">
        <is>
          <t>$B$37</t>
        </is>
      </c>
      <c r="O16" s="13">
        <f>IF(M16&lt;&gt;"",ROUNDUP(M16*(1+N16),0),"")</f>
        <v/>
      </c>
      <c r="P16" s="15" t="inlineStr">
        <is>
          <t>1,200 lm across cooling spine</t>
        </is>
      </c>
    </row>
    <row r="17">
      <c r="A17" s="3" t="n">
        <v>119</v>
      </c>
      <c r="B17" s="3" t="inlineStr">
        <is>
          <t>DH1 — Riser Piping (Htg &amp; Clg)</t>
        </is>
      </c>
      <c r="C17" s="3" t="inlineStr">
        <is>
          <t>Mech Pipe</t>
        </is>
      </c>
      <c r="D17" s="3" t="inlineStr">
        <is>
          <t>hist-prj-001-act-168</t>
        </is>
      </c>
      <c r="E17" s="4" t="n">
        <v>300</v>
      </c>
      <c r="F17" s="3" t="inlineStr">
        <is>
          <t>lm</t>
        </is>
      </c>
      <c r="G17" s="9" t="n">
        <v>0.313</v>
      </c>
      <c r="H17" s="3" t="inlineStr">
        <is>
          <t>lm/man-hr</t>
        </is>
      </c>
      <c r="I17" s="4" t="n">
        <v>2</v>
      </c>
      <c r="J17" s="4" t="n">
        <v>6</v>
      </c>
      <c r="K17" s="4" t="n">
        <v>8</v>
      </c>
      <c r="L17" s="12">
        <f>IF(I17*J17*K17&gt;0,E17/(G17*I17*J17*K17),"")</f>
        <v/>
      </c>
      <c r="M17" s="13">
        <f>IF(L17&lt;&gt;"",ROUNDUP(L17,0),"")</f>
        <v/>
      </c>
      <c r="N17" s="14" t="inlineStr">
        <is>
          <t>$B$37</t>
        </is>
      </c>
      <c r="O17" s="13">
        <f>IF(M17&lt;&gt;"",ROUNDUP(M17*(1+N17),0),"")</f>
        <v/>
      </c>
      <c r="P17" s="15" t="inlineStr">
        <is>
          <t>~300 lm per hall</t>
        </is>
      </c>
    </row>
    <row r="18">
      <c r="A18" s="3" t="n">
        <v>130</v>
      </c>
      <c r="B18" s="3" t="inlineStr">
        <is>
          <t>DH1 — CRAH Fan-Wall Installation</t>
        </is>
      </c>
      <c r="C18" s="3" t="inlineStr">
        <is>
          <t>Mech HVAC</t>
        </is>
      </c>
      <c r="D18" s="3" t="inlineStr">
        <is>
          <t>hist-prj-001-act-170</t>
        </is>
      </c>
      <c r="E18" s="4" t="n">
        <v>120</v>
      </c>
      <c r="F18" s="3" t="inlineStr">
        <is>
          <t>units</t>
        </is>
      </c>
      <c r="G18" s="9" t="n">
        <v>0.006</v>
      </c>
      <c r="H18" s="3" t="inlineStr">
        <is>
          <t>units/man-hr</t>
        </is>
      </c>
      <c r="I18" s="4" t="n">
        <v>2</v>
      </c>
      <c r="J18" s="4" t="n">
        <v>6</v>
      </c>
      <c r="K18" s="4" t="n">
        <v>8</v>
      </c>
      <c r="L18" s="12">
        <f>IF(I18*J18*K18&gt;0,E18/(G18*I18*J18*K18),"")</f>
        <v/>
      </c>
      <c r="M18" s="13">
        <f>IF(L18&lt;&gt;"",ROUNDUP(L18,0),"")</f>
        <v/>
      </c>
      <c r="N18" s="14" t="inlineStr">
        <is>
          <t>$B$37</t>
        </is>
      </c>
      <c r="O18" s="13">
        <f>IF(M18&lt;&gt;"",ROUNDUP(M18*(1+N18),0),"")</f>
        <v/>
      </c>
      <c r="P18" s="15" t="inlineStr">
        <is>
          <t>~120 CRAH per hall. 5× scaling from 1 unit/160 man-hr analog.</t>
        </is>
      </c>
    </row>
    <row r="19">
      <c r="A19" s="3" t="n">
        <v>140</v>
      </c>
      <c r="B19" s="3" t="inlineStr">
        <is>
          <t>DH1 — Chiller Installation &amp; Piping</t>
        </is>
      </c>
      <c r="C19" s="3" t="inlineStr">
        <is>
          <t>Mech HVAC</t>
        </is>
      </c>
      <c r="D19" s="3" t="inlineStr">
        <is>
          <t>hist-prj-001-act-170</t>
        </is>
      </c>
      <c r="E19" s="4" t="n">
        <v>4</v>
      </c>
      <c r="F19" s="3" t="inlineStr">
        <is>
          <t>units</t>
        </is>
      </c>
      <c r="G19" s="9" t="n">
        <v>0.006</v>
      </c>
      <c r="H19" s="3" t="inlineStr">
        <is>
          <t>units/man-hr</t>
        </is>
      </c>
      <c r="I19" s="4" t="n">
        <v>1</v>
      </c>
      <c r="J19" s="4" t="n">
        <v>4</v>
      </c>
      <c r="K19" s="4" t="n">
        <v>8</v>
      </c>
      <c r="L19" s="12">
        <f>IF(I19*J19*K19&gt;0,E19/(G19*I19*J19*K19),"")</f>
        <v/>
      </c>
      <c r="M19" s="13">
        <f>IF(L19&lt;&gt;"",ROUNDUP(L19,0),"")</f>
        <v/>
      </c>
      <c r="N19" s="14" t="inlineStr">
        <is>
          <t>$B$37</t>
        </is>
      </c>
      <c r="O19" s="13">
        <f>IF(M19&lt;&gt;"",ROUNDUP(M19*(1+N19),0),"")</f>
        <v/>
      </c>
      <c r="P19" s="15" t="inlineStr">
        <is>
          <t>4 chillers (N+1)</t>
        </is>
      </c>
    </row>
    <row r="20">
      <c r="A20" s="3" t="n">
        <v>160</v>
      </c>
      <c r="B20" s="3" t="inlineStr">
        <is>
          <t>DH1 — Raised Access Flooring</t>
        </is>
      </c>
      <c r="C20" s="3" t="inlineStr">
        <is>
          <t>Fit-Out</t>
        </is>
      </c>
      <c r="D20" s="3" t="inlineStr">
        <is>
          <t>hist-prj-001-act-203</t>
        </is>
      </c>
      <c r="E20" s="4" t="n">
        <v>1500</v>
      </c>
      <c r="F20" s="3" t="inlineStr">
        <is>
          <t>m²</t>
        </is>
      </c>
      <c r="G20" s="9" t="n">
        <v>7.292</v>
      </c>
      <c r="H20" s="3" t="inlineStr">
        <is>
          <t>m²/man-hr</t>
        </is>
      </c>
      <c r="I20" s="4" t="n">
        <v>2</v>
      </c>
      <c r="J20" s="4" t="n">
        <v>6</v>
      </c>
      <c r="K20" s="4" t="n">
        <v>8</v>
      </c>
      <c r="L20" s="12">
        <f>IF(I20*J20*K20&gt;0,E20/(G20*I20*J20*K20),"")</f>
        <v/>
      </c>
      <c r="M20" s="13">
        <f>IF(L20&lt;&gt;"",ROUNDUP(L20,0),"")</f>
        <v/>
      </c>
      <c r="N20" s="14" t="inlineStr">
        <is>
          <t>$B$37</t>
        </is>
      </c>
      <c r="O20" s="13">
        <f>IF(M20&lt;&gt;"",ROUNDUP(M20*(1+N20),0),"")</f>
        <v/>
      </c>
      <c r="P20" s="15" t="inlineStr">
        <is>
          <t>~1,500 m² per hall</t>
        </is>
      </c>
    </row>
    <row r="21">
      <c r="A21" s="3" t="n">
        <v>200</v>
      </c>
      <c r="B21" s="3" t="inlineStr">
        <is>
          <t>Access Roads &amp; Parking Construction</t>
        </is>
      </c>
      <c r="C21" s="3" t="inlineStr">
        <is>
          <t>External Works</t>
        </is>
      </c>
      <c r="D21" s="3" t="inlineStr">
        <is>
          <t>hist-prj-001-act-162</t>
        </is>
      </c>
      <c r="E21" s="4" t="n">
        <v>500</v>
      </c>
      <c r="F21" s="3" t="inlineStr">
        <is>
          <t>lm</t>
        </is>
      </c>
      <c r="G21" s="9" t="n">
        <v>1.302</v>
      </c>
      <c r="H21" s="3" t="inlineStr">
        <is>
          <t>lm/man-hr</t>
        </is>
      </c>
      <c r="I21" s="4" t="n">
        <v>2</v>
      </c>
      <c r="J21" s="4" t="n">
        <v>6</v>
      </c>
      <c r="K21" s="4" t="n">
        <v>8</v>
      </c>
      <c r="L21" s="12">
        <f>IF(I21*J21*K21&gt;0,E21/(G21*I21*J21*K21),"")</f>
        <v/>
      </c>
      <c r="M21" s="13">
        <f>IF(L21&lt;&gt;"",ROUNDUP(L21,0),"")</f>
        <v/>
      </c>
      <c r="N21" s="14" t="inlineStr">
        <is>
          <t>$B$37</t>
        </is>
      </c>
      <c r="O21" s="13">
        <f>IF(M21&lt;&gt;"",ROUNDUP(M21*(1+N21),0),"")</f>
        <v/>
      </c>
      <c r="P21" s="15" t="inlineStr">
        <is>
          <t>~500 lm + base/kerbs/wearing course</t>
        </is>
      </c>
    </row>
    <row r="22">
      <c r="A22" s="3" t="n">
        <v>203</v>
      </c>
      <c r="B22" s="3" t="inlineStr">
        <is>
          <t>Landscaping &amp; Soft Works</t>
        </is>
      </c>
      <c r="C22" s="3" t="inlineStr">
        <is>
          <t>External Works</t>
        </is>
      </c>
      <c r="D22" s="3" t="inlineStr">
        <is>
          <t>hist-prj-001-act-164</t>
        </is>
      </c>
      <c r="E22" s="4" t="n">
        <v>800</v>
      </c>
      <c r="F22" s="3" t="inlineStr">
        <is>
          <t>m²</t>
        </is>
      </c>
      <c r="G22" s="9" t="n">
        <v>3.125</v>
      </c>
      <c r="H22" s="3" t="inlineStr">
        <is>
          <t>m²/man-hr</t>
        </is>
      </c>
      <c r="I22" s="4" t="n">
        <v>1</v>
      </c>
      <c r="J22" s="4" t="n">
        <v>4</v>
      </c>
      <c r="K22" s="4" t="n">
        <v>8</v>
      </c>
      <c r="L22" s="12">
        <f>IF(I22*J22*K22&gt;0,E22/(G22*I22*J22*K22),"")</f>
        <v/>
      </c>
      <c r="M22" s="13">
        <f>IF(L22&lt;&gt;"",ROUNDUP(L22,0),"")</f>
        <v/>
      </c>
      <c r="N22" s="14" t="inlineStr">
        <is>
          <t>$B$37</t>
        </is>
      </c>
      <c r="O22" s="13">
        <f>IF(M22&lt;&gt;"",ROUNDUP(M22*(1+N22),0),"")</f>
        <v/>
      </c>
      <c r="P22" s="15" t="inlineStr">
        <is>
          <t>~800 m² + winter allowance</t>
        </is>
      </c>
    </row>
    <row r="23">
      <c r="A23" s="3" t="n">
        <v>10</v>
      </c>
      <c r="B23" s="3" t="inlineStr">
        <is>
          <t>Mobilisation &amp; Site Setup</t>
        </is>
      </c>
      <c r="C23" s="3" t="inlineStr">
        <is>
          <t>General Labour</t>
        </is>
      </c>
      <c r="D23" s="3" t="inlineStr">
        <is>
          <t>hist-prj-001-act-130</t>
        </is>
      </c>
      <c r="E23" s="4" t="inlineStr">
        <is>
          <t>—</t>
        </is>
      </c>
      <c r="F23" s="3" t="inlineStr">
        <is>
          <t>LS</t>
        </is>
      </c>
      <c r="G23" s="10" t="inlineStr">
        <is>
          <t>LS</t>
        </is>
      </c>
      <c r="H23" s="3" t="inlineStr">
        <is>
          <t>wd</t>
        </is>
      </c>
      <c r="I23" s="4" t="n">
        <v>1</v>
      </c>
      <c r="J23" s="4" t="n">
        <v>6</v>
      </c>
      <c r="K23" s="4" t="n">
        <v>8</v>
      </c>
      <c r="L23" s="9" t="inlineStr">
        <is>
          <t>—</t>
        </is>
      </c>
      <c r="M23" s="9" t="inlineStr">
        <is>
          <t>—</t>
        </is>
      </c>
      <c r="N23" s="10" t="inlineStr">
        <is>
          <t>LS</t>
        </is>
      </c>
      <c r="O23" s="10" t="n">
        <v>8</v>
      </c>
      <c r="P23" s="15" t="inlineStr">
        <is>
          <t>Analog: 5d + 3d DC complexity</t>
        </is>
      </c>
    </row>
    <row r="24">
      <c r="A24" s="3" t="n">
        <v>70</v>
      </c>
      <c r="B24" s="3" t="inlineStr">
        <is>
          <t>DH1 — GF Steel Erection</t>
        </is>
      </c>
      <c r="C24" s="3" t="inlineStr">
        <is>
          <t>Steel Erection</t>
        </is>
      </c>
      <c r="D24" s="3" t="inlineStr">
        <is>
          <t>hist-prj-004-act-148</t>
        </is>
      </c>
      <c r="E24" s="4" t="inlineStr">
        <is>
          <t>—</t>
        </is>
      </c>
      <c r="F24" s="3" t="inlineStr">
        <is>
          <t>LS</t>
        </is>
      </c>
      <c r="G24" s="10" t="inlineStr">
        <is>
          <t>LS</t>
        </is>
      </c>
      <c r="H24" s="3" t="inlineStr">
        <is>
          <t>wd</t>
        </is>
      </c>
      <c r="I24" s="4" t="n">
        <v>2</v>
      </c>
      <c r="J24" s="4" t="n">
        <v>8</v>
      </c>
      <c r="K24" s="4" t="n">
        <v>8</v>
      </c>
      <c r="L24" s="9" t="inlineStr">
        <is>
          <t>—</t>
        </is>
      </c>
      <c r="M24" s="9" t="inlineStr">
        <is>
          <t>—</t>
        </is>
      </c>
      <c r="N24" s="10" t="inlineStr">
        <is>
          <t>LS</t>
        </is>
      </c>
      <c r="O24" s="10" t="n">
        <v>8</v>
      </c>
      <c r="P24" s="15" t="inlineStr">
        <is>
          <t>8d LS per hall (PRJ-004)</t>
        </is>
      </c>
    </row>
    <row r="25">
      <c r="A25" s="3" t="n">
        <v>72</v>
      </c>
      <c r="B25" s="3" t="inlineStr">
        <is>
          <t>DH1 — Upper Floor &amp; Roof Steel</t>
        </is>
      </c>
      <c r="C25" s="3" t="inlineStr">
        <is>
          <t>Steel Erection</t>
        </is>
      </c>
      <c r="D25" s="3" t="inlineStr">
        <is>
          <t>hist-prj-004-act-149</t>
        </is>
      </c>
      <c r="E25" s="4" t="inlineStr">
        <is>
          <t>—</t>
        </is>
      </c>
      <c r="F25" s="3" t="inlineStr">
        <is>
          <t>LS</t>
        </is>
      </c>
      <c r="G25" s="10" t="inlineStr">
        <is>
          <t>LS</t>
        </is>
      </c>
      <c r="H25" s="3" t="inlineStr">
        <is>
          <t>wd</t>
        </is>
      </c>
      <c r="I25" s="4" t="n">
        <v>2</v>
      </c>
      <c r="J25" s="4" t="n">
        <v>10</v>
      </c>
      <c r="K25" s="4" t="n">
        <v>8</v>
      </c>
      <c r="L25" s="9" t="inlineStr">
        <is>
          <t>—</t>
        </is>
      </c>
      <c r="M25" s="9" t="inlineStr">
        <is>
          <t>—</t>
        </is>
      </c>
      <c r="N25" s="10" t="inlineStr">
        <is>
          <t>LS</t>
        </is>
      </c>
      <c r="O25" s="10" t="n">
        <v>40</v>
      </c>
      <c r="P25" s="15" t="inlineStr">
        <is>
          <t>40d LS per hall (PRJ-004)</t>
        </is>
      </c>
    </row>
    <row r="26">
      <c r="A26" s="3" t="n">
        <v>110</v>
      </c>
      <c r="B26" s="3" t="inlineStr">
        <is>
          <t>DH1 — Cable Trays &amp; Containment</t>
        </is>
      </c>
      <c r="C26" s="3" t="inlineStr">
        <is>
          <t>Electrical</t>
        </is>
      </c>
      <c r="D26" s="3" t="inlineStr">
        <is>
          <t>hist-prj-001-act-183</t>
        </is>
      </c>
      <c r="E26" s="4" t="inlineStr">
        <is>
          <t>—</t>
        </is>
      </c>
      <c r="F26" s="3" t="inlineStr">
        <is>
          <t>LS</t>
        </is>
      </c>
      <c r="G26" s="10" t="inlineStr">
        <is>
          <t>LS</t>
        </is>
      </c>
      <c r="H26" s="3" t="inlineStr">
        <is>
          <t>wd</t>
        </is>
      </c>
      <c r="I26" s="4" t="n">
        <v>2</v>
      </c>
      <c r="J26" s="4" t="n">
        <v>8</v>
      </c>
      <c r="K26" s="4" t="n">
        <v>8</v>
      </c>
      <c r="L26" s="9" t="inlineStr">
        <is>
          <t>—</t>
        </is>
      </c>
      <c r="M26" s="9" t="inlineStr">
        <is>
          <t>—</t>
        </is>
      </c>
      <c r="N26" s="10" t="inlineStr">
        <is>
          <t>LS</t>
        </is>
      </c>
      <c r="O26" s="10" t="n">
        <v>35</v>
      </c>
      <c r="P26" s="15" t="inlineStr">
        <is>
          <t>25d × 2.5 DC scale → 63d ÷ 2 gangs → 32d + margin → 35d</t>
        </is>
      </c>
    </row>
    <row r="27">
      <c r="A27" s="3" t="n">
        <v>141</v>
      </c>
      <c r="B27" s="3" t="inlineStr">
        <is>
          <t>DH1 — Electrical Dist. Boards</t>
        </is>
      </c>
      <c r="C27" s="3" t="inlineStr">
        <is>
          <t>Electrical</t>
        </is>
      </c>
      <c r="D27" s="3" t="inlineStr">
        <is>
          <t>hist-prj-001-act-185</t>
        </is>
      </c>
      <c r="E27" s="4" t="inlineStr">
        <is>
          <t>—</t>
        </is>
      </c>
      <c r="F27" s="3" t="inlineStr">
        <is>
          <t>LS</t>
        </is>
      </c>
      <c r="G27" s="10" t="inlineStr">
        <is>
          <t>LS</t>
        </is>
      </c>
      <c r="H27" s="3" t="inlineStr">
        <is>
          <t>wd</t>
        </is>
      </c>
      <c r="I27" s="4" t="n">
        <v>2</v>
      </c>
      <c r="J27" s="4" t="n">
        <v>6</v>
      </c>
      <c r="K27" s="4" t="n">
        <v>8</v>
      </c>
      <c r="L27" s="9" t="inlineStr">
        <is>
          <t>—</t>
        </is>
      </c>
      <c r="M27" s="9" t="inlineStr">
        <is>
          <t>—</t>
        </is>
      </c>
      <c r="N27" s="10" t="inlineStr">
        <is>
          <t>LS</t>
        </is>
      </c>
      <c r="O27" s="10" t="n">
        <v>14</v>
      </c>
      <c r="P27" s="15" t="inlineStr">
        <is>
          <t>10d × 2.5 DC → 25d ÷ 2 gangs → 13d + margin → 14d</t>
        </is>
      </c>
    </row>
    <row r="28">
      <c r="A28" s="3" t="n">
        <v>145</v>
      </c>
      <c r="B28" s="3" t="inlineStr">
        <is>
          <t>DH1 — Busway &amp; Power Feeders</t>
        </is>
      </c>
      <c r="C28" s="3" t="inlineStr">
        <is>
          <t>Electrical</t>
        </is>
      </c>
      <c r="D28" s="3" t="inlineStr">
        <is>
          <t>hist-prj-001-act-184</t>
        </is>
      </c>
      <c r="E28" s="4" t="inlineStr">
        <is>
          <t>—</t>
        </is>
      </c>
      <c r="F28" s="3" t="inlineStr">
        <is>
          <t>LS</t>
        </is>
      </c>
      <c r="G28" s="10" t="inlineStr">
        <is>
          <t>LS</t>
        </is>
      </c>
      <c r="H28" s="3" t="inlineStr">
        <is>
          <t>wd</t>
        </is>
      </c>
      <c r="I28" s="4" t="n">
        <v>2</v>
      </c>
      <c r="J28" s="4" t="n">
        <v>6</v>
      </c>
      <c r="K28" s="4" t="n">
        <v>8</v>
      </c>
      <c r="L28" s="9" t="inlineStr">
        <is>
          <t>—</t>
        </is>
      </c>
      <c r="M28" s="9" t="inlineStr">
        <is>
          <t>—</t>
        </is>
      </c>
      <c r="N28" s="10" t="inlineStr">
        <is>
          <t>LS</t>
        </is>
      </c>
      <c r="O28" s="10" t="n">
        <v>14</v>
      </c>
      <c r="P28" s="15" t="inlineStr">
        <is>
          <t>10d × 2.5 DC → 25d ÷ 2 gangs → 13d + margin → 14d</t>
        </is>
      </c>
    </row>
    <row r="29">
      <c r="A29" s="3" t="n">
        <v>150</v>
      </c>
      <c r="B29" s="3" t="inlineStr">
        <is>
          <t>DH1 — ELV/BMS/Fire Detection</t>
        </is>
      </c>
      <c r="C29" s="3" t="inlineStr">
        <is>
          <t>ELV</t>
        </is>
      </c>
      <c r="D29" s="3" t="inlineStr">
        <is>
          <t>hist-prj-001-act-183</t>
        </is>
      </c>
      <c r="E29" s="4" t="inlineStr">
        <is>
          <t>—</t>
        </is>
      </c>
      <c r="F29" s="3" t="inlineStr">
        <is>
          <t>LS</t>
        </is>
      </c>
      <c r="G29" s="10" t="inlineStr">
        <is>
          <t>LS</t>
        </is>
      </c>
      <c r="H29" s="3" t="inlineStr">
        <is>
          <t>wd</t>
        </is>
      </c>
      <c r="I29" s="4" t="n">
        <v>2</v>
      </c>
      <c r="J29" s="4" t="n">
        <v>6</v>
      </c>
      <c r="K29" s="4" t="n">
        <v>8</v>
      </c>
      <c r="L29" s="9" t="inlineStr">
        <is>
          <t>—</t>
        </is>
      </c>
      <c r="M29" s="9" t="inlineStr">
        <is>
          <t>—</t>
        </is>
      </c>
      <c r="N29" s="10" t="inlineStr">
        <is>
          <t>LS</t>
        </is>
      </c>
      <c r="O29" s="10" t="n">
        <v>20</v>
      </c>
      <c r="P29" s="15" t="inlineStr">
        <is>
          <t>25d × DC scale → 2 gangs → 20d</t>
        </is>
      </c>
    </row>
    <row r="30">
      <c r="A30" s="3" t="n">
        <v>164</v>
      </c>
      <c r="B30" s="3" t="inlineStr">
        <is>
          <t>Admin/NOC — Fit-Out</t>
        </is>
      </c>
      <c r="C30" s="3" t="inlineStr">
        <is>
          <t>Fit-Out</t>
        </is>
      </c>
      <c r="D30" s="3" t="inlineStr">
        <is>
          <t>hist-prj-001-act-201</t>
        </is>
      </c>
      <c r="E30" s="4" t="inlineStr">
        <is>
          <t>—</t>
        </is>
      </c>
      <c r="F30" s="3" t="inlineStr">
        <is>
          <t>LS</t>
        </is>
      </c>
      <c r="G30" s="10" t="inlineStr">
        <is>
          <t>LS</t>
        </is>
      </c>
      <c r="H30" s="3" t="inlineStr">
        <is>
          <t>wd</t>
        </is>
      </c>
      <c r="I30" s="4" t="n">
        <v>2</v>
      </c>
      <c r="J30" s="4" t="n">
        <v>8</v>
      </c>
      <c r="K30" s="4" t="n">
        <v>8</v>
      </c>
      <c r="L30" s="9" t="inlineStr">
        <is>
          <t>—</t>
        </is>
      </c>
      <c r="M30" s="9" t="inlineStr">
        <is>
          <t>—</t>
        </is>
      </c>
      <c r="N30" s="10" t="inlineStr">
        <is>
          <t>LS</t>
        </is>
      </c>
      <c r="O30" s="10" t="n">
        <v>25</v>
      </c>
      <c r="P30" s="15" t="inlineStr">
        <is>
          <t>Conventional office fit-out: 25d LS</t>
        </is>
      </c>
    </row>
    <row r="31">
      <c r="A31" s="3" t="n">
        <v>170</v>
      </c>
      <c r="B31" s="3" t="inlineStr">
        <is>
          <t>DH1 — Electrical Testing &amp; Dead Bus</t>
        </is>
      </c>
      <c r="C31" s="3" t="inlineStr">
        <is>
          <t>Commissioning</t>
        </is>
      </c>
      <c r="D31" s="3" t="inlineStr">
        <is>
          <t>hist-prj-001-act-217</t>
        </is>
      </c>
      <c r="E31" s="4" t="inlineStr">
        <is>
          <t>—</t>
        </is>
      </c>
      <c r="F31" s="3" t="inlineStr">
        <is>
          <t>LS</t>
        </is>
      </c>
      <c r="G31" s="10" t="inlineStr">
        <is>
          <t>LS</t>
        </is>
      </c>
      <c r="H31" s="3" t="inlineStr">
        <is>
          <t>wd</t>
        </is>
      </c>
      <c r="I31" s="4" t="n">
        <v>1</v>
      </c>
      <c r="J31" s="4" t="n">
        <v>4</v>
      </c>
      <c r="K31" s="4" t="n">
        <v>8</v>
      </c>
      <c r="L31" s="9" t="inlineStr">
        <is>
          <t>—</t>
        </is>
      </c>
      <c r="M31" s="9" t="inlineStr">
        <is>
          <t>—</t>
        </is>
      </c>
      <c r="N31" s="10" t="inlineStr">
        <is>
          <t>LS</t>
        </is>
      </c>
      <c r="O31" s="10" t="n">
        <v>12</v>
      </c>
      <c r="P31" s="15" t="inlineStr">
        <is>
          <t>8d × 1.5 DC = 12d</t>
        </is>
      </c>
    </row>
    <row r="32">
      <c r="A32" s="3" t="n">
        <v>175</v>
      </c>
      <c r="B32" s="3" t="inlineStr">
        <is>
          <t>DH1 — HVAC Commissioning &amp; Balancing</t>
        </is>
      </c>
      <c r="C32" s="3" t="inlineStr">
        <is>
          <t>Commissioning</t>
        </is>
      </c>
      <c r="D32" s="3" t="inlineStr">
        <is>
          <t>hist-prj-001-act-215</t>
        </is>
      </c>
      <c r="E32" s="4" t="inlineStr">
        <is>
          <t>—</t>
        </is>
      </c>
      <c r="F32" s="3" t="inlineStr">
        <is>
          <t>LS</t>
        </is>
      </c>
      <c r="G32" s="10" t="inlineStr">
        <is>
          <t>LS</t>
        </is>
      </c>
      <c r="H32" s="3" t="inlineStr">
        <is>
          <t>wd</t>
        </is>
      </c>
      <c r="I32" s="4" t="n">
        <v>1</v>
      </c>
      <c r="J32" s="4" t="n">
        <v>6</v>
      </c>
      <c r="K32" s="4" t="n">
        <v>8</v>
      </c>
      <c r="L32" s="9" t="inlineStr">
        <is>
          <t>—</t>
        </is>
      </c>
      <c r="M32" s="9" t="inlineStr">
        <is>
          <t>—</t>
        </is>
      </c>
      <c r="N32" s="10" t="inlineStr">
        <is>
          <t>LS</t>
        </is>
      </c>
      <c r="O32" s="10" t="n">
        <v>15</v>
      </c>
      <c r="P32" s="15" t="inlineStr">
        <is>
          <t>10d × 1.5 DC = 15d</t>
        </is>
      </c>
    </row>
    <row r="33">
      <c r="A33" s="3" t="n">
        <v>180</v>
      </c>
      <c r="B33" s="3" t="inlineStr">
        <is>
          <t>DH1 — BMS/BAS Int. Func. Test</t>
        </is>
      </c>
      <c r="C33" s="3" t="inlineStr">
        <is>
          <t>Commissioning</t>
        </is>
      </c>
      <c r="D33" s="3" t="inlineStr">
        <is>
          <t>hist-prj-001-act-220</t>
        </is>
      </c>
      <c r="E33" s="4" t="inlineStr">
        <is>
          <t>—</t>
        </is>
      </c>
      <c r="F33" s="3" t="inlineStr">
        <is>
          <t>LS</t>
        </is>
      </c>
      <c r="G33" s="10" t="inlineStr">
        <is>
          <t>LS</t>
        </is>
      </c>
      <c r="H33" s="3" t="inlineStr">
        <is>
          <t>wd</t>
        </is>
      </c>
      <c r="I33" s="4" t="n">
        <v>1</v>
      </c>
      <c r="J33" s="4" t="n">
        <v>4</v>
      </c>
      <c r="K33" s="4" t="n">
        <v>8</v>
      </c>
      <c r="L33" s="9" t="inlineStr">
        <is>
          <t>—</t>
        </is>
      </c>
      <c r="M33" s="9" t="inlineStr">
        <is>
          <t>—</t>
        </is>
      </c>
      <c r="N33" s="10" t="inlineStr">
        <is>
          <t>LS</t>
        </is>
      </c>
      <c r="O33" s="10" t="n">
        <v>12</v>
      </c>
      <c r="P33" s="15" t="inlineStr">
        <is>
          <t>8d × 1.5 DC = 12d</t>
        </is>
      </c>
    </row>
    <row r="34">
      <c r="A34" s="3" t="n">
        <v>181</v>
      </c>
      <c r="B34" s="3" t="inlineStr">
        <is>
          <t>DH1 — Fire Alarm Integrated Test</t>
        </is>
      </c>
      <c r="C34" s="3" t="inlineStr">
        <is>
          <t>Commissioning</t>
        </is>
      </c>
      <c r="D34" s="3" t="inlineStr">
        <is>
          <t>hist-prj-001-act-218</t>
        </is>
      </c>
      <c r="E34" s="4" t="inlineStr">
        <is>
          <t>—</t>
        </is>
      </c>
      <c r="F34" s="3" t="inlineStr">
        <is>
          <t>LS</t>
        </is>
      </c>
      <c r="G34" s="10" t="inlineStr">
        <is>
          <t>LS</t>
        </is>
      </c>
      <c r="H34" s="3" t="inlineStr">
        <is>
          <t>wd</t>
        </is>
      </c>
      <c r="I34" s="4" t="n">
        <v>1</v>
      </c>
      <c r="J34" s="4" t="n">
        <v>3</v>
      </c>
      <c r="K34" s="4" t="n">
        <v>8</v>
      </c>
      <c r="L34" s="9" t="inlineStr">
        <is>
          <t>—</t>
        </is>
      </c>
      <c r="M34" s="9" t="inlineStr">
        <is>
          <t>—</t>
        </is>
      </c>
      <c r="N34" s="10" t="inlineStr">
        <is>
          <t>LS</t>
        </is>
      </c>
      <c r="O34" s="10" t="n">
        <v>7</v>
      </c>
      <c r="P34" s="15" t="inlineStr">
        <is>
          <t>5d × 1.4 DC = 7d</t>
        </is>
      </c>
    </row>
    <row r="35">
      <c r="A35" s="3" t="n">
        <v>182</v>
      </c>
      <c r="B35" s="3" t="inlineStr">
        <is>
          <t>DH1 — Generator Load-Bank Test</t>
        </is>
      </c>
      <c r="C35" s="3" t="inlineStr">
        <is>
          <t>Commissioning</t>
        </is>
      </c>
      <c r="D35" s="3" t="inlineStr">
        <is>
          <t>hist-prj-001-act-218</t>
        </is>
      </c>
      <c r="E35" s="4" t="inlineStr">
        <is>
          <t>—</t>
        </is>
      </c>
      <c r="F35" s="3" t="inlineStr">
        <is>
          <t>LS</t>
        </is>
      </c>
      <c r="G35" s="10" t="inlineStr">
        <is>
          <t>LS</t>
        </is>
      </c>
      <c r="H35" s="3" t="inlineStr">
        <is>
          <t>wd</t>
        </is>
      </c>
      <c r="I35" s="4" t="n">
        <v>1</v>
      </c>
      <c r="J35" s="4" t="n">
        <v>3</v>
      </c>
      <c r="K35" s="4" t="n">
        <v>8</v>
      </c>
      <c r="L35" s="9" t="inlineStr">
        <is>
          <t>—</t>
        </is>
      </c>
      <c r="M35" s="9" t="inlineStr">
        <is>
          <t>—</t>
        </is>
      </c>
      <c r="N35" s="10" t="inlineStr">
        <is>
          <t>LS</t>
        </is>
      </c>
      <c r="O35" s="10" t="n">
        <v>8</v>
      </c>
      <c r="P35" s="15" t="inlineStr">
        <is>
          <t>5d × 1.6 DC = 8d</t>
        </is>
      </c>
    </row>
    <row r="37">
      <c r="A37" s="16" t="inlineStr">
        <is>
          <t>MARGIN %</t>
        </is>
      </c>
      <c r="B37" s="17" t="n">
        <v>0.1</v>
      </c>
      <c r="C37" s="3" t="inlineStr">
        <is>
          <t>← Change this → ALL quantity-driven durations recalculate. 10% = first-build DC + winter + learning curve.</t>
        </is>
      </c>
    </row>
    <row r="38">
      <c r="A38" s="16" t="inlineStr">
        <is>
          <t>DC MEP SCALING</t>
        </is>
      </c>
      <c r="B38" s="16" t="n">
        <v>2.5</v>
      </c>
      <c r="C38" s="3" t="inlineStr">
        <is>
          <t>← DC complexity factor vs commercial office. Documented, not formula-driven.</t>
        </is>
      </c>
    </row>
    <row r="40">
      <c r="A40" s="8" t="inlineStr">
        <is>
          <t>LEGEND:</t>
        </is>
      </c>
    </row>
    <row r="41">
      <c r="A41" s="4" t="inlineStr">
        <is>
          <t>Yellow</t>
        </is>
      </c>
      <c r="B41" s="3" t="inlineStr">
        <is>
          <t>Input — change and durations recalculate</t>
        </is>
      </c>
    </row>
    <row r="42">
      <c r="A42" s="9" t="inlineStr">
        <is>
          <t>Green</t>
        </is>
      </c>
      <c r="B42" s="3" t="inlineStr">
        <is>
          <t>Formula — live arithmetic</t>
        </is>
      </c>
    </row>
    <row r="43">
      <c r="A43" s="10" t="inlineStr">
        <is>
          <t>Orange</t>
        </is>
      </c>
      <c r="B43" s="3" t="inlineStr">
        <is>
          <t>Judgement — margin, LS duration, scaling factor</t>
        </is>
      </c>
    </row>
  </sheetData>
  <mergeCells count="4">
    <mergeCell ref="C38:F38"/>
    <mergeCell ref="A1:P1"/>
    <mergeCell ref="C37:F37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30" customWidth="1" min="4" max="4"/>
    <col width="18" customWidth="1" min="5" max="5"/>
    <col width="52" customWidth="1" min="6" max="6"/>
  </cols>
  <sheetData>
    <row r="1">
      <c r="A1" s="1" t="inlineStr">
        <is>
          <t>BOQ-TO-ACTIVITY COST MAPPING</t>
        </is>
      </c>
    </row>
    <row r="3">
      <c r="A3" s="2" t="inlineStr">
        <is>
          <t>BOQ Ref</t>
        </is>
      </c>
      <c r="B3" s="2" t="inlineStr">
        <is>
          <t>Description</t>
        </is>
      </c>
      <c r="C3" s="2" t="inlineStr">
        <is>
          <t>BOQ Amount (€)</t>
        </is>
      </c>
      <c r="D3" s="2" t="inlineStr">
        <is>
          <t>Activity IDs</t>
        </is>
      </c>
      <c r="E3" s="2" t="inlineStr">
        <is>
          <t>Loaded Amount (€)</t>
        </is>
      </c>
      <c r="F3" s="2" t="inlineStr">
        <is>
          <t>Exclusions / Notes</t>
        </is>
      </c>
    </row>
    <row r="4">
      <c r="A4" s="3" t="inlineStr">
        <is>
          <t>A.01-A.07</t>
        </is>
      </c>
      <c r="B4" s="3" t="inlineStr">
        <is>
          <t>Site est., cranage, env. controls</t>
        </is>
      </c>
      <c r="C4" s="18" t="n">
        <v>2675159</v>
      </c>
      <c r="D4" s="3" t="inlineStr">
        <is>
          <t>10,40,41,70-77,102</t>
        </is>
      </c>
      <c r="E4" s="18" t="n">
        <v>2675159</v>
      </c>
      <c r="F4" s="3" t="inlineStr">
        <is>
          <t>A.02/A.05/A.06/A.08 excluded</t>
        </is>
      </c>
    </row>
    <row r="5">
      <c r="A5" s="3" t="inlineStr">
        <is>
          <t>B.01-B.10</t>
        </is>
      </c>
      <c r="B5" s="3" t="inlineStr">
        <is>
          <t>Earthworks, blasting, piling, substructure</t>
        </is>
      </c>
      <c r="C5" s="18" t="n">
        <v>6105520</v>
      </c>
      <c r="D5" s="3" t="inlineStr">
        <is>
          <t>40-45,50-65,82</t>
        </is>
      </c>
      <c r="E5" s="18" t="n">
        <v>6105520</v>
      </c>
      <c r="F5" s="3" t="inlineStr">
        <is>
          <t>B.11 contingency excluded</t>
        </is>
      </c>
    </row>
    <row r="6">
      <c r="A6" s="3" t="inlineStr">
        <is>
          <t>C.01-C.08</t>
        </is>
      </c>
      <c r="B6" s="3" t="inlineStr">
        <is>
          <t>Steel, precast, RC, fire protection</t>
        </is>
      </c>
      <c r="C6" s="18" t="n">
        <v>8522330</v>
      </c>
      <c r="D6" s="3" t="inlineStr">
        <is>
          <t>70-81,82-83,94-97,100-103</t>
        </is>
      </c>
      <c r="E6" s="18" t="n">
        <v>8522330</v>
      </c>
      <c r="F6" s="3" t="inlineStr">
        <is>
          <t>Supply+install on erection</t>
        </is>
      </c>
    </row>
    <row r="7">
      <c r="A7" s="3" t="inlineStr">
        <is>
          <t>D.01-D.08</t>
        </is>
      </c>
      <c r="B7" s="3" t="inlineStr">
        <is>
          <t>Cladding, roofing, louvres, doors</t>
        </is>
      </c>
      <c r="C7" s="18" t="n">
        <v>5382523</v>
      </c>
      <c r="D7" s="3" t="inlineStr">
        <is>
          <t>90-97,100-105</t>
        </is>
      </c>
      <c r="E7" s="18" t="n">
        <v>5382523</v>
      </c>
      <c r="F7" s="3" t="inlineStr">
        <is>
          <t>Envelope supply+install</t>
        </is>
      </c>
    </row>
    <row r="8">
      <c r="A8" s="3" t="inlineStr">
        <is>
          <t>E.01-E.07</t>
        </is>
      </c>
      <c r="B8" s="3" t="inlineStr">
        <is>
          <t>Raised floor, containment, admin fit-out</t>
        </is>
      </c>
      <c r="C8" s="18" t="n">
        <v>4485437</v>
      </c>
      <c r="D8" s="3" t="inlineStr">
        <is>
          <t>160-164,183-211</t>
        </is>
      </c>
      <c r="E8" s="18" t="n">
        <v>4485437</v>
      </c>
      <c r="F8" s="3" t="inlineStr">
        <is>
          <t>Finishes on fit-out</t>
        </is>
      </c>
    </row>
    <row r="9">
      <c r="A9" s="3" t="inlineStr">
        <is>
          <t>F.01-F.12</t>
        </is>
      </c>
      <c r="B9" s="3" t="inlineStr">
        <is>
          <t>Chillers, CRAH, pipework, DH plant</t>
        </is>
      </c>
      <c r="C9" s="18" t="n">
        <v>21530097</v>
      </c>
      <c r="D9" s="3" t="inlineStr">
        <is>
          <t>114-122,130-133,140,205</t>
        </is>
      </c>
      <c r="E9" s="18" t="n">
        <v>21530097</v>
      </c>
      <c r="F9" s="3" t="inlineStr">
        <is>
          <t>Equipment supply on install</t>
        </is>
      </c>
    </row>
    <row r="10">
      <c r="A10" s="3" t="inlineStr">
        <is>
          <t>G.01-G.14</t>
        </is>
      </c>
      <c r="B10" s="3" t="inlineStr">
        <is>
          <t>TX, generators, UPS, LV, busway</t>
        </is>
      </c>
      <c r="C10" s="18" t="n">
        <v>26912621</v>
      </c>
      <c r="D10" s="3" t="inlineStr">
        <is>
          <t>110-113,123-125,141-148</t>
        </is>
      </c>
      <c r="E10" s="18" t="n">
        <v>26912621</v>
      </c>
      <c r="F10" s="3" t="inlineStr">
        <is>
          <t>€15.0M gen/UPS; €5.4M TX</t>
        </is>
      </c>
    </row>
    <row r="11">
      <c r="A11" s="3" t="inlineStr">
        <is>
          <t>H.01-H.09</t>
        </is>
      </c>
      <c r="B11" s="3" t="inlineStr">
        <is>
          <t>ELV, BMS, DCIM, fire, CCTV</t>
        </is>
      </c>
      <c r="C11" s="18" t="n">
        <v>4933981</v>
      </c>
      <c r="D11" s="3" t="inlineStr">
        <is>
          <t>150-153,180-197,201</t>
        </is>
      </c>
      <c r="E11" s="18" t="n">
        <v>4933981</v>
      </c>
      <c r="F11" s="3" t="inlineStr">
        <is>
          <t>BMS on integrated test</t>
        </is>
      </c>
    </row>
    <row r="12">
      <c r="A12" s="3" t="inlineStr">
        <is>
          <t>I.01-I.08</t>
        </is>
      </c>
      <c r="B12" s="3" t="inlineStr">
        <is>
          <t>Roads, fencing, fibre, lighting</t>
        </is>
      </c>
      <c r="C12" s="18" t="n">
        <v>3588350</v>
      </c>
      <c r="D12" s="3" t="inlineStr">
        <is>
          <t>103-104,200-203</t>
        </is>
      </c>
      <c r="E12" s="18" t="n">
        <v>3588350</v>
      </c>
      <c r="F12" s="3" t="inlineStr">
        <is>
          <t>Ext works mapped</t>
        </is>
      </c>
    </row>
    <row r="13">
      <c r="A13" s="3" t="inlineStr">
        <is>
          <t>J.01-J.07</t>
        </is>
      </c>
      <c r="B13" s="3" t="inlineStr">
        <is>
          <t>FAT, L2-L5, as-built, statutory</t>
        </is>
      </c>
      <c r="C13" s="18" t="n">
        <v>2242718</v>
      </c>
      <c r="D13" s="3" t="inlineStr">
        <is>
          <t>170-173,180-197,182,183-211</t>
        </is>
      </c>
      <c r="E13" s="18" t="n">
        <v>2242718</v>
      </c>
      <c r="F13" s="3" t="inlineStr">
        <is>
          <t>Commissioning mapped</t>
        </is>
      </c>
    </row>
    <row r="14">
      <c r="A14" s="8" t="inlineStr">
        <is>
          <t>LOADED</t>
        </is>
      </c>
      <c r="C14" s="19">
        <f>SUM(C4:C13)</f>
        <v/>
      </c>
      <c r="E14" s="19">
        <f>SUM(E4:E13)</f>
        <v/>
      </c>
    </row>
    <row r="15">
      <c r="A15" s="8" t="inlineStr">
        <is>
          <t>CONTRACT</t>
        </is>
      </c>
      <c r="C15" s="19" t="n">
        <v>92400000</v>
      </c>
    </row>
    <row r="16">
      <c r="A16" s="8" t="inlineStr">
        <is>
          <t>NOT LOADED</t>
        </is>
      </c>
      <c r="C16" s="19">
        <f>C15-C14</f>
        <v/>
      </c>
      <c r="F16" s="3" t="inlineStr">
        <is>
          <t>Risk, time, financial, contingency, rounding</t>
        </is>
      </c>
    </row>
    <row r="17">
      <c r="A17" s="8" t="inlineStr">
        <is>
          <t>LOAD RATIO</t>
        </is>
      </c>
      <c r="C17" s="20">
        <f>C14/C15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22" customWidth="1" min="3" max="3"/>
  </cols>
  <sheetData>
    <row r="1">
      <c r="A1" s="1" t="inlineStr">
        <is>
          <t>HOW TO USE THIS WORKBOOK</t>
        </is>
      </c>
    </row>
    <row r="3">
      <c r="A3" s="21" t="inlineStr">
        <is>
          <t>CHANGING DURATIONS</t>
        </is>
      </c>
    </row>
    <row r="4" ht="36" customHeight="1">
      <c r="A4" s="22" t="inlineStr">
        <is>
          <t>Go to 'Polaris Durations'. Change yellow cells (BOQ qty, crews, members, hrs/day) → raw/base/final durations recalculate live. Change the Margin % cell → every quantity-driven duration updates at once.</t>
        </is>
      </c>
    </row>
    <row r="6">
      <c r="A6" s="21" t="inlineStr">
        <is>
          <t>CHANGING RATES</t>
        </is>
      </c>
    </row>
    <row r="7" ht="36" customHeight="1">
      <c r="A7" s="22" t="inlineStr">
        <is>
          <t>On 'Historical Analogs', change yellow cells (crews/members/duration) → rate recalculates. Polaris sheet uses typed rates (col G) — copy changed rates across.</t>
        </is>
      </c>
    </row>
    <row r="9">
      <c r="A9" s="21" t="inlineStr">
        <is>
          <t>LUMP-SUM</t>
        </is>
      </c>
    </row>
    <row r="10" ht="36" customHeight="1">
      <c r="A10" s="22" t="inlineStr">
        <is>
          <t>Activities shown as 'LS' use analog duration directly. Orange cells are manually entered — change them directly.</t>
        </is>
      </c>
    </row>
    <row r="12">
      <c r="A12" s="21" t="inlineStr">
        <is>
          <t>MARGIN</t>
        </is>
      </c>
    </row>
    <row r="13" ht="36" customHeight="1">
      <c r="A13" s="22" t="inlineStr">
        <is>
          <t>10% = first-build DC learning curve + winter + 22-month tempo. Set to 0% for perfect conditions, 15% to stress-test.</t>
        </is>
      </c>
    </row>
    <row r="15">
      <c r="A15" s="21" t="inlineStr">
        <is>
          <t>COST</t>
        </is>
      </c>
    </row>
    <row r="16" ht="36" customHeight="1">
      <c r="A16" s="22" t="inlineStr">
        <is>
          <t>€82.97M loaded (89.8%). Excluded: risk allowances, time prelims, financial instruments, contingency. See 'Cost Mapping'.</t>
        </is>
      </c>
    </row>
    <row r="18">
      <c r="A18" s="21" t="inlineStr">
        <is>
          <t>CELL COLOURS</t>
        </is>
      </c>
    </row>
    <row r="19" ht="36" customHeight="1">
      <c r="A19" s="22" t="inlineStr">
        <is>
          <t>Yellow = input (change). Green = formula (live). Orange = judgement (margin, LS, scaling).</t>
        </is>
      </c>
    </row>
  </sheetData>
  <mergeCells count="13">
    <mergeCell ref="A10:C10"/>
    <mergeCell ref="A13:C13"/>
    <mergeCell ref="A19:C19"/>
    <mergeCell ref="A1:C1"/>
    <mergeCell ref="A6:C6"/>
    <mergeCell ref="A9:C9"/>
    <mergeCell ref="A18:C18"/>
    <mergeCell ref="A3:C3"/>
    <mergeCell ref="A7:C7"/>
    <mergeCell ref="A12:C12"/>
    <mergeCell ref="A4:C4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2026-08-01T02:57:17Z</dcterms:created>
  <dcterms:modified xmlns:dcterms="http://purl.org/dc/terms/" xmlns:xsi="http://www.w3.org/2001/XMLSchema-instance" xsi:type="dcterms:W3CDTF">2026-08-01T02:57:17Z</dcterms:modified>
</cp:coreProperties>
</file>