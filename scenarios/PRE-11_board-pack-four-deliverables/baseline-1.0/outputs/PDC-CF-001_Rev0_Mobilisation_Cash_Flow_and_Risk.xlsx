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Risk Register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Assumptions Log" sheetId="7" state="visible" r:id="rId7"/>
    <sheet xmlns:r="http://schemas.openxmlformats.org/officeDocument/2006/relationships" name="Long-Lead Procurement" sheetId="8" state="visible" r:id="rId8"/>
    <sheet xmlns:r="http://schemas.openxmlformats.org/officeDocument/2006/relationships" name="Sectional Completion" sheetId="9" state="visible" r:id="rId9"/>
    <sheet xmlns:r="http://schemas.openxmlformats.org/officeDocument/2006/relationships" name="Audit — Cost Loading" sheetId="10" state="visible" r:id="rId10"/>
  </sheets>
  <definedNames>
    <definedName name="ContractSum">Inputs!$C$5</definedName>
    <definedName name="CashInLag">Inputs!$C$7</definedName>
    <definedName name="CashOutLag">Inputs!$C$8</definedName>
    <definedName name="RetentionRate">Inputs!$C$9</definedName>
    <definedName name="AdvancePct">Inputs!$C$13</definedName>
    <definedName name="AdvanceRecovery">Inputs!$C$14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"/>
    <numFmt numFmtId="165" formatCode="#,##0;[Red]-#,##0"/>
    <numFmt numFmtId="166" formatCode="+0.0;-0.0;0.0"/>
  </numFmts>
  <fonts count="16">
    <font>
      <name val="Calibri"/>
      <family val="2"/>
      <color theme="1"/>
      <sz val="11"/>
      <scheme val="minor"/>
    </font>
    <font>
      <b val="1"/>
      <color rgb="001F4E78"/>
      <sz val="18"/>
    </font>
    <font>
      <i val="1"/>
      <sz val="12"/>
    </font>
    <font>
      <b val="1"/>
    </font>
    <font>
      <b val="1"/>
      <color rgb="001F4E78"/>
      <sz val="13"/>
    </font>
    <font>
      <b val="1"/>
      <color rgb="001F4E78"/>
      <sz val="12"/>
    </font>
    <font>
      <b val="1"/>
      <color rgb="001F4E78"/>
      <sz val="14"/>
    </font>
    <font>
      <b val="1"/>
      <color rgb="00FFFFFF"/>
      <sz val="11"/>
    </font>
    <font>
      <b val="1"/>
      <color rgb="001F4E78"/>
      <sz val="11"/>
    </font>
    <font>
      <b val="1"/>
      <sz val="11"/>
    </font>
    <font>
      <i val="1"/>
      <color rgb="00606060"/>
      <sz val="10"/>
    </font>
    <font>
      <b val="1"/>
      <color rgb="00006400"/>
    </font>
    <font>
      <i val="1"/>
    </font>
    <font>
      <b val="1"/>
      <sz val="12"/>
    </font>
    <font>
      <b val="1"/>
      <color rgb="00C00000"/>
    </font>
    <font>
      <b val="1"/>
      <color rgb="00C00000"/>
      <sz val="12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0" fontId="8" fillId="3" borderId="1" applyAlignment="1" pivotButton="0" quotePrefix="0" xfId="0">
      <alignment horizontal="center" vertical="center"/>
    </xf>
    <xf numFmtId="0" fontId="0" fillId="3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9" fillId="4" borderId="1" pivotButton="0" quotePrefix="0" xfId="0"/>
    <xf numFmtId="3" fontId="9" fillId="4" borderId="1" pivotButton="0" quotePrefix="0" xfId="0"/>
    <xf numFmtId="0" fontId="10" fillId="0" borderId="0" pivotButton="0" quotePrefix="0" xfId="0"/>
    <xf numFmtId="164" fontId="0" fillId="0" borderId="0" pivotButton="0" quotePrefix="0" xfId="0"/>
    <xf numFmtId="164" fontId="9" fillId="4" borderId="1" pivotButton="0" quotePrefix="0" xfId="0"/>
    <xf numFmtId="0" fontId="9" fillId="4" borderId="1" applyAlignment="1" pivotButton="0" quotePrefix="0" xfId="0">
      <alignment horizontal="center" vertical="center"/>
    </xf>
    <xf numFmtId="0" fontId="11" fillId="0" borderId="0" pivotButton="0" quotePrefix="0" xfId="0"/>
    <xf numFmtId="0" fontId="0" fillId="0" borderId="0" applyAlignment="1" pivotButton="0" quotePrefix="0" xfId="0">
      <alignment vertical="center" wrapText="1"/>
    </xf>
    <xf numFmtId="0" fontId="12" fillId="0" borderId="0" pivotButton="0" quotePrefix="0" xfId="0"/>
    <xf numFmtId="0" fontId="13" fillId="5" borderId="0" pivotButton="0" quotePrefix="0" xfId="0"/>
    <xf numFmtId="0" fontId="0" fillId="5" borderId="0" pivotButton="0" quotePrefix="0" xfId="0"/>
    <xf numFmtId="0" fontId="11" fillId="6" borderId="0" pivotButton="0" quotePrefix="0" xfId="0"/>
    <xf numFmtId="0" fontId="13" fillId="4" borderId="0" pivotButton="0" quotePrefix="0" xfId="0"/>
    <xf numFmtId="0" fontId="0" fillId="4" borderId="0" pivotButton="0" quotePrefix="0" xfId="0"/>
    <xf numFmtId="0" fontId="13" fillId="7" borderId="0" pivotButton="0" quotePrefix="0" xfId="0"/>
    <xf numFmtId="0" fontId="0" fillId="7" borderId="0" pivotButton="0" quotePrefix="0" xfId="0"/>
    <xf numFmtId="0" fontId="14" fillId="6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4" fillId="0" borderId="0" pivotButton="0" quotePrefix="0" xfId="0"/>
    <xf numFmtId="3" fontId="0" fillId="0" borderId="1" pivotButton="0" quotePrefix="0" xfId="0"/>
    <xf numFmtId="165" fontId="0" fillId="0" borderId="1" pivotButton="0" quotePrefix="0" xfId="0"/>
    <xf numFmtId="165" fontId="9" fillId="4" borderId="1" pivotButton="0" quotePrefix="0" xfId="0"/>
    <xf numFmtId="166" fontId="14" fillId="7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15" fillId="6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Polaris DC-1 — Cumulative Cash-In vs Cash-Out (Base Case)</a:t>
            </a:r>
          </a:p>
        </rich>
      </tx>
    </title>
    <plotArea>
      <barChart>
        <barDir val="col"/>
        <grouping val="clustered"/>
        <ser>
          <idx val="0"/>
          <order val="0"/>
          <tx>
            <v>Cumulative Cash In (cash in hand)</v>
          </tx>
          <spPr>
            <a:ln xmlns:a="http://schemas.openxmlformats.org/drawingml/2006/main">
              <a:prstDash val="solid"/>
            </a:ln>
          </spPr>
          <cat>
            <numRef>
              <f>'Cash Flow'!$C$6:$Z$6</f>
            </numRef>
          </cat>
          <val>
            <numRef>
              <f>'Cash Flow'!$C$27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'Cash Flow'!$C$6:$Z$6</f>
            </numRef>
          </cat>
          <val>
            <numRef>
              <f>'Cash Flow'!$D$27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'Cash Flow'!$C$6:$Z$6</f>
            </numRef>
          </cat>
          <val>
            <numRef>
              <f>'Cash Flow'!$E$27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'Cash Flow'!$C$6:$Z$6</f>
            </numRef>
          </cat>
          <val>
            <numRef>
              <f>'Cash Flow'!$F$27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'Cash Flow'!$C$6:$Z$6</f>
            </numRef>
          </cat>
          <val>
            <numRef>
              <f>'Cash Flow'!$G$27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'Cash Flow'!$C$6:$Z$6</f>
            </numRef>
          </cat>
          <val>
            <numRef>
              <f>'Cash Flow'!$H$27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'Cash Flow'!$C$6:$Z$6</f>
            </numRef>
          </cat>
          <val>
            <numRef>
              <f>'Cash Flow'!$I$27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'Cash Flow'!$C$6:$Z$6</f>
            </numRef>
          </cat>
          <val>
            <numRef>
              <f>'Cash Flow'!$J$27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'Cash Flow'!$C$6:$Z$6</f>
            </numRef>
          </cat>
          <val>
            <numRef>
              <f>'Cash Flow'!$K$27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'Cash Flow'!$C$6:$Z$6</f>
            </numRef>
          </cat>
          <val>
            <numRef>
              <f>'Cash Flow'!$L$27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cat>
            <numRef>
              <f>'Cash Flow'!$C$6:$Z$6</f>
            </numRef>
          </cat>
          <val>
            <numRef>
              <f>'Cash Flow'!$M$27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cat>
            <numRef>
              <f>'Cash Flow'!$C$6:$Z$6</f>
            </numRef>
          </cat>
          <val>
            <numRef>
              <f>'Cash Flow'!$N$27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cat>
            <numRef>
              <f>'Cash Flow'!$C$6:$Z$6</f>
            </numRef>
          </cat>
          <val>
            <numRef>
              <f>'Cash Flow'!$O$27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cat>
            <numRef>
              <f>'Cash Flow'!$C$6:$Z$6</f>
            </numRef>
          </cat>
          <val>
            <numRef>
              <f>'Cash Flow'!$P$27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cat>
            <numRef>
              <f>'Cash Flow'!$C$6:$Z$6</f>
            </numRef>
          </cat>
          <val>
            <numRef>
              <f>'Cash Flow'!$Q$27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cat>
            <numRef>
              <f>'Cash Flow'!$C$6:$Z$6</f>
            </numRef>
          </cat>
          <val>
            <numRef>
              <f>'Cash Flow'!$R$27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cat>
            <numRef>
              <f>'Cash Flow'!$C$6:$Z$6</f>
            </numRef>
          </cat>
          <val>
            <numRef>
              <f>'Cash Flow'!$S$27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cat>
            <numRef>
              <f>'Cash Flow'!$C$6:$Z$6</f>
            </numRef>
          </cat>
          <val>
            <numRef>
              <f>'Cash Flow'!$T$27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cat>
            <numRef>
              <f>'Cash Flow'!$C$6:$Z$6</f>
            </numRef>
          </cat>
          <val>
            <numRef>
              <f>'Cash Flow'!$U$27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cat>
            <numRef>
              <f>'Cash Flow'!$C$6:$Z$6</f>
            </numRef>
          </cat>
          <val>
            <numRef>
              <f>'Cash Flow'!$V$27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cat>
            <numRef>
              <f>'Cash Flow'!$C$6:$Z$6</f>
            </numRef>
          </cat>
          <val>
            <numRef>
              <f>'Cash Flow'!$W$27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cat>
            <numRef>
              <f>'Cash Flow'!$C$6:$Z$6</f>
            </numRef>
          </cat>
          <val>
            <numRef>
              <f>'Cash Flow'!$X$27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cat>
            <numRef>
              <f>'Cash Flow'!$C$6:$Z$6</f>
            </numRef>
          </cat>
          <val>
            <numRef>
              <f>'Cash Flow'!$Y$27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cat>
            <numRef>
              <f>'Cash Flow'!$C$6:$Z$6</f>
            </numRef>
          </cat>
          <val>
            <numRef>
              <f>'Cash Flow'!$Z$27</f>
            </numRef>
          </val>
        </ser>
        <gapWidth val="150"/>
        <axId val="10"/>
        <axId val="100"/>
      </barChart>
      <lineChart>
        <grouping val="standard"/>
        <ser>
          <idx val="24"/>
          <order val="24"/>
          <tx>
            <v>Cumulative Cash Out (sub payments)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 Flow'!$C$39</f>
            </numRef>
          </val>
          <smooth val="1"/>
        </ser>
        <ser>
          <idx val="25"/>
          <order val="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 Flow'!$D$39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 Flow'!$E$39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 Flow'!$F$39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 Flow'!$G$39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 Flow'!$H$39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 Flow'!$I$39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 Flow'!$J$39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 Flow'!$K$39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 Flow'!$L$39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 Flow'!$M$39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 Flow'!$N$39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 Flow'!$O$39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 Flow'!$P$39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 Flow'!$Q$39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 Flow'!$R$39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 Flow'!$S$39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 Flow'!$T$39</f>
            </numRef>
          </val>
        </ser>
        <ser>
          <idx val="42"/>
          <order val="4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 Flow'!$U$39</f>
            </numRef>
          </val>
        </ser>
        <ser>
          <idx val="43"/>
          <order val="4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 Flow'!$V$39</f>
            </numRef>
          </val>
        </ser>
        <ser>
          <idx val="44"/>
          <order val="4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 Flow'!$W$39</f>
            </numRef>
          </val>
        </ser>
        <ser>
          <idx val="45"/>
          <order val="4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 Flow'!$X$39</f>
            </numRef>
          </val>
        </ser>
        <ser>
          <idx val="46"/>
          <order val="4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 Flow'!$Y$39</f>
            </numRef>
          </val>
        </ser>
        <ser>
          <idx val="47"/>
          <order val="4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 Flow'!$Z$39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Cash In (€)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Cash Out (€)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57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7"/>
  <sheetViews>
    <sheetView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65" customWidth="1" min="3" max="3"/>
  </cols>
  <sheetData>
    <row r="2">
      <c r="B2" s="1" t="inlineStr">
        <is>
          <t>Polaris DC-1 — Mobilisation Cash Flow &amp; Risk Register</t>
        </is>
      </c>
    </row>
    <row r="3">
      <c r="B3" s="2" t="inlineStr">
        <is>
          <t>Aviapolis Data Campus, Vantaa · Phase 1</t>
        </is>
      </c>
    </row>
    <row r="5">
      <c r="B5" s="3" t="inlineStr">
        <is>
          <t>Document</t>
        </is>
      </c>
      <c r="C5" s="4" t="inlineStr">
        <is>
          <t>PDC-CF-001 Rev 0 — Board mobilisation pack</t>
        </is>
      </c>
    </row>
    <row r="6">
      <c r="B6" s="3" t="inlineStr">
        <is>
          <t>Prepared for</t>
        </is>
      </c>
      <c r="C6" s="4" t="inlineStr">
        <is>
          <t>Polaris DC-1 Board, mobilisation approval</t>
        </is>
      </c>
    </row>
    <row r="7">
      <c r="B7" s="3" t="inlineStr">
        <is>
          <t>Prepared by</t>
        </is>
      </c>
      <c r="C7" s="4" t="inlineStr">
        <is>
          <t>Project Management Office</t>
        </is>
      </c>
    </row>
    <row r="8">
      <c r="B8" s="3" t="inlineStr">
        <is>
          <t>Date</t>
        </is>
      </c>
      <c r="C8" s="4" t="inlineStr">
        <is>
          <t>2026-08-08</t>
        </is>
      </c>
    </row>
    <row r="9">
      <c r="B9" s="3" t="inlineStr">
        <is>
          <t>Contract</t>
        </is>
      </c>
      <c r="C9" s="4" t="inlineStr">
        <is>
          <t>FIDIC Yellow Book 2017 D&amp;B lump sum, Particular Conditions RevC</t>
        </is>
      </c>
    </row>
    <row r="10">
      <c r="B10" s="3" t="inlineStr">
        <is>
          <t>Contract Sum (BOQ)</t>
        </is>
      </c>
      <c r="C10" s="4" t="inlineStr">
        <is>
          <t>€92,400,000</t>
        </is>
      </c>
    </row>
    <row r="11">
      <c r="B11" s="3" t="inlineStr">
        <is>
          <t>Commencement Date</t>
        </is>
      </c>
      <c r="C11" s="4" t="inlineStr">
        <is>
          <t>2 March 2026</t>
        </is>
      </c>
    </row>
    <row r="12">
      <c r="B12" s="3" t="inlineStr">
        <is>
          <t>Time for Completion</t>
        </is>
      </c>
      <c r="C12" s="4" t="inlineStr">
        <is>
          <t>22 months (whole of Works); Sectional 14/16/19/22 months</t>
        </is>
      </c>
    </row>
    <row r="14">
      <c r="B14" s="5" t="inlineStr">
        <is>
          <t>Key headline numbers</t>
        </is>
      </c>
    </row>
    <row r="15">
      <c r="B15" s="3" t="inlineStr">
        <is>
          <t>Cost-loading total (Schedule Table col M, 133 numeric rows)</t>
        </is>
      </c>
      <c r="C15" s="4" t="inlineStr">
        <is>
          <t>€82,970,863</t>
        </is>
      </c>
    </row>
    <row r="16">
      <c r="B16" s="3" t="inlineStr">
        <is>
          <t>BOQ Accepted Contract Amount (PC RevC Part A)</t>
        </is>
      </c>
      <c r="C16" s="4" t="inlineStr">
        <is>
          <t>€92,400,000</t>
        </is>
      </c>
    </row>
    <row r="17">
      <c r="B17" s="3" t="inlineStr">
        <is>
          <t>Reconciliation gap (BOQ − cost loading)</t>
        </is>
      </c>
      <c r="C17" s="4" t="inlineStr">
        <is>
          <t>€9,429,137</t>
        </is>
      </c>
    </row>
    <row r="18">
      <c r="B18" s="3" t="inlineStr">
        <is>
          <t>Max LD exposure (10% aggregate cap)</t>
        </is>
      </c>
      <c r="C18" s="4" t="inlineStr">
        <is>
          <t>€9,240,000</t>
        </is>
      </c>
    </row>
    <row r="19">
      <c r="B19" s="3" t="inlineStr">
        <is>
          <t>Peak monthly cash-out (Nov 2026 cost-loading spike)</t>
        </is>
      </c>
      <c r="C19" s="4" t="inlineStr">
        <is>
          <t>€24.18M</t>
        </is>
      </c>
    </row>
    <row r="20">
      <c r="B20" s="3" t="inlineStr">
        <is>
          <t>Long-lead critical item: LT-01 transformers</t>
        </is>
      </c>
      <c r="C20" s="4" t="inlineStr">
        <is>
          <t>−6.4 weeks float (order-by 16 Jan 2026)</t>
        </is>
      </c>
    </row>
    <row r="21">
      <c r="B21" s="3" t="inlineStr">
        <is>
          <t>Minimum cash buffer (base 45/45 case)</t>
        </is>
      </c>
      <c r="C21" s="4" t="inlineStr">
        <is>
          <t>+€4.26M surplus in May 2027 — base case needs NO working-capital facility</t>
        </is>
      </c>
    </row>
    <row r="22">
      <c r="B22" s="3" t="inlineStr">
        <is>
          <t>End-of-project net cash position</t>
        </is>
      </c>
      <c r="C22" s="4" t="inlineStr">
        <is>
          <t>+€4.81M (excludes final retention release)</t>
        </is>
      </c>
    </row>
    <row r="24">
      <c r="B24" s="6" t="inlineStr">
        <is>
          <t>Headline statement</t>
        </is>
      </c>
    </row>
    <row r="25" ht="65" customHeight="1">
      <c r="B25" s="7" t="inlineStr">
        <is>
          <t>Base case requires NO working-capital facility. The 10% advance payment (€9.24M, paid at Commencement per PC RevC SP-11) is sufficient to bridge the cash gap throughout the build — the tightest point of the cumulative net cash position is a +€4.26M SURPLUS in May 2027, not a shortfall. A working-capital facility would only be required under the back-to-back sensitivity scenario (45d in / 30d out), which troughs at −€16.58M in December 2026 — a separate question.</t>
        </is>
      </c>
    </row>
    <row r="27">
      <c r="B27" s="5" t="inlineStr">
        <is>
          <t>Workbook contents</t>
        </is>
      </c>
    </row>
    <row r="28">
      <c r="B28" s="3" t="inlineStr">
        <is>
          <t>Cover</t>
        </is>
      </c>
      <c r="C28" s="4" t="inlineStr">
        <is>
          <t>This page.</t>
        </is>
      </c>
    </row>
    <row r="29">
      <c r="B29" s="3" t="inlineStr">
        <is>
          <t>Inputs</t>
        </is>
      </c>
      <c r="C29" s="4" t="inlineStr">
        <is>
          <t>Editable assumptions (lags, retention, advance, payment terms, LD rates).</t>
        </is>
      </c>
    </row>
    <row r="30">
      <c r="B30" s="3" t="inlineStr">
        <is>
          <t>Cash Flow</t>
        </is>
      </c>
      <c r="C30" s="4" t="inlineStr">
        <is>
          <t>Monthly cash-in vs cash-out, base case, with live formulas and chart. Sign convention: positive = cash in hand.</t>
        </is>
      </c>
    </row>
    <row r="31">
      <c r="B31" s="3" t="inlineStr">
        <is>
          <t>Sensitivity</t>
        </is>
      </c>
      <c r="C31" s="4" t="inlineStr">
        <is>
          <t>Three lag scenarios: 45/45 base, 45/75 slow-payer, 45/30 back-to-back. Back-to-back troughs in December 2026.</t>
        </is>
      </c>
    </row>
    <row r="32">
      <c r="B32" s="3" t="inlineStr">
        <is>
          <t>Risk Register</t>
        </is>
      </c>
      <c r="C32" s="4" t="inlineStr">
        <is>
          <t>Scored register with owner, mitigation, residual position (16 risks).</t>
        </is>
      </c>
    </row>
    <row r="33">
      <c r="B33" s="3" t="inlineStr">
        <is>
          <t>Reconciliation</t>
        </is>
      </c>
      <c r="C33" s="4" t="inlineStr">
        <is>
          <t>BOQ ↔ cost-loading bridge (€9.43M gap).</t>
        </is>
      </c>
    </row>
    <row r="34">
      <c r="B34" s="3" t="inlineStr">
        <is>
          <t>Assumptions Log</t>
        </is>
      </c>
      <c r="C34" s="4" t="inlineStr">
        <is>
          <t>Every assumption called out plainly with source.</t>
        </is>
      </c>
    </row>
    <row r="35">
      <c r="B35" s="3" t="inlineStr">
        <is>
          <t>Long-Lead Procurement</t>
        </is>
      </c>
      <c r="C35" s="4" t="inlineStr">
        <is>
          <t>LT-01..LT-15 with order-by dates and float.</t>
        </is>
      </c>
    </row>
    <row r="36">
      <c r="B36" s="3" t="inlineStr">
        <is>
          <t>Sectional Completion</t>
        </is>
      </c>
      <c r="C36" s="4" t="inlineStr">
        <is>
          <t>Sections, completion dates, LD rates.</t>
        </is>
      </c>
    </row>
    <row r="37">
      <c r="B37" s="3" t="inlineStr">
        <is>
          <t>Audit — Cost Loading</t>
        </is>
      </c>
      <c r="C37" s="4" t="inlineStr">
        <is>
          <t>Row-level audit showing the 133 rows summed to €82,970,863.</t>
        </is>
      </c>
    </row>
  </sheetData>
  <mergeCells count="1">
    <mergeCell ref="B25:C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3" customWidth="1" min="1" max="1"/>
    <col width="55" customWidth="1" min="2" max="2"/>
    <col width="16" customWidth="1" min="3" max="3"/>
    <col width="65" customWidth="1" min="4" max="4"/>
  </cols>
  <sheetData>
    <row r="2">
      <c r="B2" s="8" t="inlineStr">
        <is>
          <t>Editable assumptions — change values here, all sheets recalculate</t>
        </is>
      </c>
    </row>
    <row r="4">
      <c r="B4" s="9" t="inlineStr">
        <is>
          <t>Assumption</t>
        </is>
      </c>
      <c r="C4" s="9" t="inlineStr">
        <is>
          <t>Value</t>
        </is>
      </c>
      <c r="D4" s="9" t="inlineStr">
        <is>
          <t>Source / note</t>
        </is>
      </c>
    </row>
    <row r="5">
      <c r="B5" s="4" t="inlineStr">
        <is>
          <t>Contract sum (BOQ Accepted Contract Amount)</t>
        </is>
      </c>
      <c r="C5" s="10" t="n">
        <v>92400000</v>
      </c>
      <c r="D5" s="4" t="inlineStr">
        <is>
          <t>PC RevC Part A Item 1.1</t>
        </is>
      </c>
    </row>
    <row r="6">
      <c r="B6" s="4" t="inlineStr">
        <is>
          <t>Commencement Date</t>
        </is>
      </c>
      <c r="C6" s="11" t="inlineStr">
        <is>
          <t>2026-03-02</t>
        </is>
      </c>
      <c r="D6" s="4" t="inlineStr">
        <is>
          <t>PC RevC; baseline schedule uses 2026-03-01 (R-16 live risk)</t>
        </is>
      </c>
    </row>
    <row r="7">
      <c r="B7" s="4" t="inlineStr">
        <is>
          <t>Cash-in lag (employer pays after Engineer-issued IPC)</t>
        </is>
      </c>
      <c r="C7" s="10" t="n">
        <v>45</v>
      </c>
      <c r="D7" s="4" t="inlineStr">
        <is>
          <t>PC RevC Sub-Clause 14.7 — base; 75d sensitivity</t>
        </is>
      </c>
    </row>
    <row r="8">
      <c r="B8" s="4" t="inlineStr">
        <is>
          <t>Cash-out lag (we pay subs after sub IPC)</t>
        </is>
      </c>
      <c r="C8" s="10" t="n">
        <v>45</v>
      </c>
      <c r="D8" s="4" t="inlineStr">
        <is>
          <t>Industry Nordic norm; 30d back-to-back sensitivity</t>
        </is>
      </c>
    </row>
    <row r="9">
      <c r="B9" s="4" t="inlineStr">
        <is>
          <t>Retention percentage (deducted from each IPC and each sub payment)</t>
        </is>
      </c>
      <c r="C9" s="12" t="n">
        <v>0.05</v>
      </c>
      <c r="D9" s="4" t="inlineStr">
        <is>
          <t>PC RevC SP-13/14.3</t>
        </is>
      </c>
    </row>
    <row r="10">
      <c r="B10" s="4" t="inlineStr">
        <is>
          <t>Retention cap (% of contract sum)</t>
        </is>
      </c>
      <c r="C10" s="12" t="n">
        <v>0.05</v>
      </c>
      <c r="D10" s="4" t="inlineStr">
        <is>
          <t>PC RevC SP-13/14.3</t>
        </is>
      </c>
    </row>
    <row r="11">
      <c r="B11" s="4" t="inlineStr">
        <is>
          <t>Retention release — 1st half</t>
        </is>
      </c>
      <c r="C11" s="11" t="inlineStr">
        <is>
          <t>Section 1 TOC</t>
        </is>
      </c>
      <c r="D11" s="4" t="inlineStr">
        <is>
          <t>PC RevC SP-13</t>
        </is>
      </c>
    </row>
    <row r="12">
      <c r="B12" s="4" t="inlineStr">
        <is>
          <t>Retention release — 2nd half</t>
        </is>
      </c>
      <c r="C12" s="11" t="inlineStr">
        <is>
          <t>Section 4 TOC</t>
        </is>
      </c>
      <c r="D12" s="4" t="inlineStr">
        <is>
          <t>PC RevC SP-13</t>
        </is>
      </c>
    </row>
    <row r="13">
      <c r="B13" s="4" t="inlineStr">
        <is>
          <t>Advance payment (% of contract sum)</t>
        </is>
      </c>
      <c r="C13" s="12" t="n">
        <v>0.1</v>
      </c>
      <c r="D13" s="4" t="inlineStr">
        <is>
          <t>PC RevC SP-11 — €9.24M, paid at Commencement</t>
        </is>
      </c>
    </row>
    <row r="14">
      <c r="B14" s="4" t="inlineStr">
        <is>
          <t>Advance recovery (% of each IPC)</t>
        </is>
      </c>
      <c r="C14" s="12" t="n">
        <v>0.12</v>
      </c>
      <c r="D14" s="4" t="inlineStr">
        <is>
          <t>PC RevC SP-11</t>
        </is>
      </c>
    </row>
    <row r="15">
      <c r="B15" s="4" t="inlineStr">
        <is>
          <t>Performance security (% of contract sum)</t>
        </is>
      </c>
      <c r="C15" s="12" t="n">
        <v>0.1</v>
      </c>
      <c r="D15" s="4" t="inlineStr">
        <is>
          <t>PC RevC Part A Item 4.2 — on-demand bank guarantee</t>
        </is>
      </c>
    </row>
    <row r="16">
      <c r="B16" s="4" t="inlineStr">
        <is>
          <t>VAT / tax treatment</t>
        </is>
      </c>
      <c r="C16" s="11" t="inlineStr">
        <is>
          <t>Reverse-charged (excluded from cash flow)</t>
        </is>
      </c>
      <c r="D16" s="4" t="inlineStr">
        <is>
          <t>Assumption: Finnish construction services VAT</t>
        </is>
      </c>
    </row>
    <row r="17">
      <c r="B17" s="4" t="inlineStr">
        <is>
          <t>Inflation / price escalation</t>
        </is>
      </c>
      <c r="C17" s="11" t="inlineStr">
        <is>
          <t>Not modelled (lump sum FIDIC YB)</t>
        </is>
      </c>
      <c r="D17" s="4" t="inlineStr">
        <is>
          <t>Assumption; flagged</t>
        </is>
      </c>
    </row>
    <row r="18">
      <c r="B18" s="4" t="inlineStr">
        <is>
          <t>Sub payment terms (assumed across packages, except Ilmatek Rev1)</t>
        </is>
      </c>
      <c r="C18" s="11" t="inlineStr">
        <is>
          <t>45 days after sub IPC</t>
        </is>
      </c>
      <c r="D18" s="4" t="inlineStr">
        <is>
          <t>User-confirmed base; 30d sensitivity</t>
        </is>
      </c>
    </row>
    <row r="19">
      <c r="B19" s="4" t="inlineStr">
        <is>
          <t>Insurance deductibles</t>
        </is>
      </c>
      <c r="C19" s="11" t="inlineStr">
        <is>
          <t>Not quantified</t>
        </is>
      </c>
      <c r="D19" s="4" t="inlineStr">
        <is>
          <t>Data gap; not modelled</t>
        </is>
      </c>
    </row>
    <row r="21">
      <c r="B21" s="13" t="inlineStr">
        <is>
          <t>Sectional completion — Delay Damages</t>
        </is>
      </c>
      <c r="C21" s="14" t="n"/>
      <c r="D21" s="14" t="n"/>
    </row>
    <row r="22">
      <c r="B22" s="9" t="inlineStr">
        <is>
          <t>Section</t>
        </is>
      </c>
      <c r="C22" s="9" t="inlineStr">
        <is>
          <t>LD/day (€)</t>
        </is>
      </c>
      <c r="D22" s="9" t="inlineStr">
        <is>
          <t>Completion date</t>
        </is>
      </c>
    </row>
    <row r="23">
      <c r="B23" s="4" t="inlineStr">
        <is>
          <t xml:space="preserve">Section 1 — Data Hall 1, primary substation, generator compound, shared </t>
        </is>
      </c>
      <c r="C23" s="15" t="n">
        <v>18000</v>
      </c>
      <c r="D23" s="16" t="inlineStr">
        <is>
          <t>2027-05-02</t>
        </is>
      </c>
    </row>
    <row r="24">
      <c r="B24" s="4" t="inlineStr">
        <is>
          <t>Section 2 — Data Hall 2 and associated plant</t>
        </is>
      </c>
      <c r="C24" s="15" t="n">
        <v>12000</v>
      </c>
      <c r="D24" s="16" t="inlineStr">
        <is>
          <t>2027-07-02</t>
        </is>
      </c>
    </row>
    <row r="25">
      <c r="B25" s="4" t="inlineStr">
        <is>
          <t>Section 3 — Data Hall 3 and associated plant</t>
        </is>
      </c>
      <c r="C25" s="15" t="n">
        <v>12000</v>
      </c>
      <c r="D25" s="16" t="inlineStr">
        <is>
          <t>2027-10-02</t>
        </is>
      </c>
    </row>
    <row r="26">
      <c r="B26" s="4" t="inlineStr">
        <is>
          <t>Section 4 — Data Hall 4, administration and NOC block, external works, l</t>
        </is>
      </c>
      <c r="C26" s="15" t="n">
        <v>10000</v>
      </c>
      <c r="D26" s="16" t="inlineStr">
        <is>
          <t>2028-01-02</t>
        </is>
      </c>
    </row>
    <row r="27">
      <c r="B27" s="17" t="inlineStr">
        <is>
          <t>Maximum Delay Damages (aggregate cap, 10% of contract sum)</t>
        </is>
      </c>
      <c r="C27" s="18">
        <f>C5*0.1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A5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6" customWidth="1" min="27" max="27"/>
  </cols>
  <sheetData>
    <row r="2">
      <c r="B2" s="8" t="inlineStr">
        <is>
          <t>Polaris DC-1 — Monthly Cash Flow (Base Case)</t>
        </is>
      </c>
    </row>
    <row r="3">
      <c r="B3" s="19" t="inlineStr">
        <is>
          <t>Sign convention: positive = cash in hand (surplus / buffer held). Negative = drawn (working-capital facility required).</t>
        </is>
      </c>
    </row>
    <row r="4">
      <c r="B4" s="19" t="inlineStr">
        <is>
          <t>Advance paid at Commencement (per PC RevC SP-11); IPCs lagged 45 days. Base case = no WC facility required.</t>
        </is>
      </c>
    </row>
    <row r="6">
      <c r="B6" s="9" t="inlineStr">
        <is>
          <t>Item</t>
        </is>
      </c>
      <c r="C6" s="9" t="inlineStr">
        <is>
          <t>Mar 2026</t>
        </is>
      </c>
      <c r="D6" s="9" t="inlineStr">
        <is>
          <t>Apr 2026</t>
        </is>
      </c>
      <c r="E6" s="9" t="inlineStr">
        <is>
          <t>May 2026</t>
        </is>
      </c>
      <c r="F6" s="9" t="inlineStr">
        <is>
          <t>Jun 2026</t>
        </is>
      </c>
      <c r="G6" s="9" t="inlineStr">
        <is>
          <t>Jul 2026</t>
        </is>
      </c>
      <c r="H6" s="9" t="inlineStr">
        <is>
          <t>Aug 2026</t>
        </is>
      </c>
      <c r="I6" s="9" t="inlineStr">
        <is>
          <t>Sep 2026</t>
        </is>
      </c>
      <c r="J6" s="9" t="inlineStr">
        <is>
          <t>Oct 2026</t>
        </is>
      </c>
      <c r="K6" s="9" t="inlineStr">
        <is>
          <t>Nov 2026</t>
        </is>
      </c>
      <c r="L6" s="9" t="inlineStr">
        <is>
          <t>Dec 2026</t>
        </is>
      </c>
      <c r="M6" s="9" t="inlineStr">
        <is>
          <t>Jan 2027</t>
        </is>
      </c>
      <c r="N6" s="9" t="inlineStr">
        <is>
          <t>Feb 2027</t>
        </is>
      </c>
      <c r="O6" s="9" t="inlineStr">
        <is>
          <t>Mar 2027</t>
        </is>
      </c>
      <c r="P6" s="9" t="inlineStr">
        <is>
          <t>Apr 2027</t>
        </is>
      </c>
      <c r="Q6" s="9" t="inlineStr">
        <is>
          <t>May 2027</t>
        </is>
      </c>
      <c r="R6" s="9" t="inlineStr">
        <is>
          <t>Jun 2027</t>
        </is>
      </c>
      <c r="S6" s="9" t="inlineStr">
        <is>
          <t>Jul 2027</t>
        </is>
      </c>
      <c r="T6" s="9" t="inlineStr">
        <is>
          <t>Aug 2027</t>
        </is>
      </c>
      <c r="U6" s="9" t="inlineStr">
        <is>
          <t>Sep 2027</t>
        </is>
      </c>
      <c r="V6" s="9" t="inlineStr">
        <is>
          <t>Oct 2027</t>
        </is>
      </c>
      <c r="W6" s="9" t="inlineStr">
        <is>
          <t>Nov 2027</t>
        </is>
      </c>
      <c r="X6" s="9" t="inlineStr">
        <is>
          <t>Dec 2027</t>
        </is>
      </c>
      <c r="Y6" s="9" t="inlineStr">
        <is>
          <t>Jan 2028</t>
        </is>
      </c>
      <c r="Z6" s="9" t="inlineStr">
        <is>
          <t>Feb 2028</t>
        </is>
      </c>
      <c r="AA6" s="9" t="inlineStr">
        <is>
          <t>Total</t>
        </is>
      </c>
    </row>
    <row r="7">
      <c r="B7" s="13" t="inlineStr">
        <is>
          <t>EARNED VALUE (BOQ basis, work done)</t>
        </is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</row>
    <row r="8">
      <c r="B8" s="4" t="inlineStr">
        <is>
          <t>Section 1 EV (BOQ basis)</t>
        </is>
      </c>
      <c r="C8" s="15" t="n">
        <v>1852359</v>
      </c>
      <c r="D8" s="15" t="n">
        <v>777928</v>
      </c>
      <c r="E8" s="15" t="n">
        <v>589165</v>
      </c>
      <c r="F8" s="15" t="n">
        <v>2014101</v>
      </c>
      <c r="G8" s="15" t="n">
        <v>5220855</v>
      </c>
      <c r="H8" s="15" t="n">
        <v>2820633</v>
      </c>
      <c r="I8" s="15" t="n">
        <v>4271824</v>
      </c>
      <c r="J8" s="15" t="n">
        <v>3248421</v>
      </c>
      <c r="K8" s="15" t="n">
        <v>23664064</v>
      </c>
      <c r="L8" s="15" t="n">
        <v>921183</v>
      </c>
      <c r="M8" s="15" t="n">
        <v>1714967</v>
      </c>
      <c r="N8" s="15" t="n">
        <v>2528236</v>
      </c>
      <c r="O8" s="15" t="n">
        <v>1589231</v>
      </c>
      <c r="P8" s="15" t="n">
        <v>1593885</v>
      </c>
      <c r="Q8" s="15" t="n">
        <v>5460896</v>
      </c>
      <c r="R8" s="15" t="n">
        <v>336516</v>
      </c>
      <c r="S8" s="15" t="n">
        <v>0</v>
      </c>
      <c r="T8" s="15" t="n">
        <v>0</v>
      </c>
      <c r="U8" s="15" t="n">
        <v>0</v>
      </c>
      <c r="V8" s="15" t="n">
        <v>0</v>
      </c>
      <c r="W8" s="15" t="n">
        <v>0</v>
      </c>
      <c r="X8" s="15" t="n">
        <v>0</v>
      </c>
      <c r="Y8" s="15" t="n">
        <v>0</v>
      </c>
      <c r="Z8" s="15" t="n">
        <v>0</v>
      </c>
      <c r="AA8" s="15">
        <f>SUM(C8:Z8)</f>
        <v/>
      </c>
    </row>
    <row r="9">
      <c r="B9" s="4" t="inlineStr">
        <is>
          <t>Section 2 EV (BOQ basis)</t>
        </is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330012</v>
      </c>
      <c r="H9" s="15" t="n">
        <v>482604</v>
      </c>
      <c r="I9" s="15" t="n">
        <v>666272</v>
      </c>
      <c r="J9" s="15" t="n">
        <v>772995</v>
      </c>
      <c r="K9" s="15" t="n">
        <v>1818955</v>
      </c>
      <c r="L9" s="15" t="n">
        <v>1608434</v>
      </c>
      <c r="M9" s="15" t="n">
        <v>2335053</v>
      </c>
      <c r="N9" s="15" t="n">
        <v>912323</v>
      </c>
      <c r="O9" s="15" t="n">
        <v>382942</v>
      </c>
      <c r="P9" s="15" t="n">
        <v>348759</v>
      </c>
      <c r="Q9" s="15" t="n">
        <v>0</v>
      </c>
      <c r="R9" s="15" t="n">
        <v>0</v>
      </c>
      <c r="S9" s="15" t="n">
        <v>0</v>
      </c>
      <c r="T9" s="15" t="n">
        <v>0</v>
      </c>
      <c r="U9" s="15" t="n">
        <v>0</v>
      </c>
      <c r="V9" s="15" t="n">
        <v>0</v>
      </c>
      <c r="W9" s="15" t="n">
        <v>0</v>
      </c>
      <c r="X9" s="15" t="n">
        <v>0</v>
      </c>
      <c r="Y9" s="15" t="n">
        <v>0</v>
      </c>
      <c r="Z9" s="15" t="n">
        <v>0</v>
      </c>
      <c r="AA9" s="15">
        <f>SUM(C9:Z9)</f>
        <v/>
      </c>
    </row>
    <row r="10">
      <c r="B10" s="4" t="inlineStr">
        <is>
          <t>Section 3 EV (BOQ basis)</t>
        </is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220011</v>
      </c>
      <c r="H10" s="15" t="n">
        <v>592606</v>
      </c>
      <c r="I10" s="15" t="n">
        <v>460402</v>
      </c>
      <c r="J10" s="15" t="n">
        <v>0</v>
      </c>
      <c r="K10" s="15" t="n">
        <v>625520</v>
      </c>
      <c r="L10" s="15" t="n">
        <v>460235</v>
      </c>
      <c r="M10" s="15" t="n">
        <v>2068669</v>
      </c>
      <c r="N10" s="15" t="n">
        <v>1608434</v>
      </c>
      <c r="O10" s="15" t="n">
        <v>2512265</v>
      </c>
      <c r="P10" s="15" t="n">
        <v>378507</v>
      </c>
      <c r="Q10" s="15" t="n">
        <v>731701</v>
      </c>
      <c r="R10" s="15" t="n">
        <v>0</v>
      </c>
      <c r="S10" s="15" t="n">
        <v>0</v>
      </c>
      <c r="T10" s="15" t="n">
        <v>0</v>
      </c>
      <c r="U10" s="15" t="n">
        <v>0</v>
      </c>
      <c r="V10" s="15" t="n">
        <v>0</v>
      </c>
      <c r="W10" s="15" t="n">
        <v>0</v>
      </c>
      <c r="X10" s="15" t="n">
        <v>0</v>
      </c>
      <c r="Y10" s="15" t="n">
        <v>0</v>
      </c>
      <c r="Z10" s="15" t="n">
        <v>0</v>
      </c>
      <c r="AA10" s="15">
        <f>SUM(C10:Z10)</f>
        <v/>
      </c>
    </row>
    <row r="11">
      <c r="B11" s="4" t="inlineStr">
        <is>
          <t>Section 4 EV (BOQ basis)</t>
        </is>
      </c>
      <c r="C11" s="15" t="n">
        <v>0</v>
      </c>
      <c r="D11" s="15" t="n">
        <v>38978</v>
      </c>
      <c r="E11" s="15" t="n">
        <v>0</v>
      </c>
      <c r="F11" s="15" t="n">
        <v>0</v>
      </c>
      <c r="G11" s="15" t="n">
        <v>0</v>
      </c>
      <c r="H11" s="15" t="n">
        <v>1031689</v>
      </c>
      <c r="I11" s="15" t="n">
        <v>600824</v>
      </c>
      <c r="J11" s="15" t="n">
        <v>460402</v>
      </c>
      <c r="K11" s="15" t="n">
        <v>821374</v>
      </c>
      <c r="L11" s="15" t="n">
        <v>878940</v>
      </c>
      <c r="M11" s="15" t="n">
        <v>2264527</v>
      </c>
      <c r="N11" s="15" t="n">
        <v>2986342</v>
      </c>
      <c r="O11" s="15" t="n">
        <v>3751938</v>
      </c>
      <c r="P11" s="15" t="n">
        <v>912323</v>
      </c>
      <c r="Q11" s="15" t="n">
        <v>382942</v>
      </c>
      <c r="R11" s="15" t="n">
        <v>348759</v>
      </c>
      <c r="S11" s="15" t="n">
        <v>0</v>
      </c>
      <c r="T11" s="15" t="n">
        <v>0</v>
      </c>
      <c r="U11" s="15" t="n">
        <v>0</v>
      </c>
      <c r="V11" s="15" t="n">
        <v>0</v>
      </c>
      <c r="W11" s="15" t="n">
        <v>0</v>
      </c>
      <c r="X11" s="15" t="n">
        <v>0</v>
      </c>
      <c r="Y11" s="15" t="n">
        <v>0</v>
      </c>
      <c r="Z11" s="15" t="n">
        <v>0</v>
      </c>
      <c r="AA11" s="15">
        <f>SUM(C11:Z11)</f>
        <v/>
      </c>
    </row>
    <row r="12">
      <c r="B12" s="17" t="inlineStr">
        <is>
          <t>Total EV (BOQ basis, work done)</t>
        </is>
      </c>
      <c r="C12" s="18">
        <f>SUM(C8:C11)</f>
        <v/>
      </c>
      <c r="D12" s="18">
        <f>SUM(D8:D11)</f>
        <v/>
      </c>
      <c r="E12" s="18">
        <f>SUM(E8:E11)</f>
        <v/>
      </c>
      <c r="F12" s="18">
        <f>SUM(F8:F11)</f>
        <v/>
      </c>
      <c r="G12" s="18">
        <f>SUM(G8:G11)</f>
        <v/>
      </c>
      <c r="H12" s="18">
        <f>SUM(H8:H11)</f>
        <v/>
      </c>
      <c r="I12" s="18">
        <f>SUM(I8:I11)</f>
        <v/>
      </c>
      <c r="J12" s="18">
        <f>SUM(J8:J11)</f>
        <v/>
      </c>
      <c r="K12" s="18">
        <f>SUM(K8:K11)</f>
        <v/>
      </c>
      <c r="L12" s="18">
        <f>SUM(L8:L11)</f>
        <v/>
      </c>
      <c r="M12" s="18">
        <f>SUM(M8:M11)</f>
        <v/>
      </c>
      <c r="N12" s="18">
        <f>SUM(N8:N11)</f>
        <v/>
      </c>
      <c r="O12" s="18">
        <f>SUM(O8:O11)</f>
        <v/>
      </c>
      <c r="P12" s="18">
        <f>SUM(P8:P11)</f>
        <v/>
      </c>
      <c r="Q12" s="18">
        <f>SUM(Q8:Q11)</f>
        <v/>
      </c>
      <c r="R12" s="18">
        <f>SUM(R8:R11)</f>
        <v/>
      </c>
      <c r="S12" s="18">
        <f>SUM(S8:S11)</f>
        <v/>
      </c>
      <c r="T12" s="18">
        <f>SUM(T8:T11)</f>
        <v/>
      </c>
      <c r="U12" s="18">
        <f>SUM(U8:U11)</f>
        <v/>
      </c>
      <c r="V12" s="18">
        <f>SUM(V8:V11)</f>
        <v/>
      </c>
      <c r="W12" s="18">
        <f>SUM(W8:W11)</f>
        <v/>
      </c>
      <c r="X12" s="18">
        <f>SUM(X8:X11)</f>
        <v/>
      </c>
      <c r="Y12" s="18">
        <f>SUM(Y8:Y11)</f>
        <v/>
      </c>
      <c r="Z12" s="18">
        <f>SUM(Z8:Z11)</f>
        <v/>
      </c>
      <c r="AA12" s="18">
        <f>SUM(C12:Z12)</f>
        <v/>
      </c>
    </row>
    <row r="14">
      <c r="B14" s="13" t="inlineStr">
        <is>
          <t>Retention (deducted from IPC)</t>
        </is>
      </c>
    </row>
    <row r="15">
      <c r="B15" t="inlineStr">
        <is>
          <t>Retention this month</t>
        </is>
      </c>
      <c r="C15" s="15">
        <f>C12*RetentionRate</f>
        <v/>
      </c>
      <c r="D15" s="15">
        <f>D12*RetentionRate</f>
        <v/>
      </c>
      <c r="E15" s="15">
        <f>E12*RetentionRate</f>
        <v/>
      </c>
      <c r="F15" s="15">
        <f>F12*RetentionRate</f>
        <v/>
      </c>
      <c r="G15" s="15">
        <f>G12*RetentionRate</f>
        <v/>
      </c>
      <c r="H15" s="15">
        <f>H12*RetentionRate</f>
        <v/>
      </c>
      <c r="I15" s="15">
        <f>I12*RetentionRate</f>
        <v/>
      </c>
      <c r="J15" s="15">
        <f>J12*RetentionRate</f>
        <v/>
      </c>
      <c r="K15" s="15">
        <f>K12*RetentionRate</f>
        <v/>
      </c>
      <c r="L15" s="15">
        <f>L12*RetentionRate</f>
        <v/>
      </c>
      <c r="M15" s="15">
        <f>M12*RetentionRate</f>
        <v/>
      </c>
      <c r="N15" s="15">
        <f>N12*RetentionRate</f>
        <v/>
      </c>
      <c r="O15" s="15">
        <f>O12*RetentionRate</f>
        <v/>
      </c>
      <c r="P15" s="15">
        <f>P12*RetentionRate</f>
        <v/>
      </c>
      <c r="Q15" s="15">
        <f>Q12*RetentionRate</f>
        <v/>
      </c>
      <c r="R15" s="15">
        <f>R12*RetentionRate</f>
        <v/>
      </c>
      <c r="S15" s="15">
        <f>S12*RetentionRate</f>
        <v/>
      </c>
      <c r="T15" s="15">
        <f>T12*RetentionRate</f>
        <v/>
      </c>
      <c r="U15" s="15">
        <f>U12*RetentionRate</f>
        <v/>
      </c>
      <c r="V15" s="15">
        <f>V12*RetentionRate</f>
        <v/>
      </c>
      <c r="W15" s="15">
        <f>W12*RetentionRate</f>
        <v/>
      </c>
      <c r="X15" s="15">
        <f>X12*RetentionRate</f>
        <v/>
      </c>
      <c r="Y15" s="15">
        <f>Y12*RetentionRate</f>
        <v/>
      </c>
      <c r="Z15" s="15">
        <f>Z12*RetentionRate</f>
        <v/>
      </c>
      <c r="AA15" s="15">
        <f>SUM(C15:Z15)</f>
        <v/>
      </c>
    </row>
    <row r="16">
      <c r="B16" t="inlineStr">
        <is>
          <t>Cumulative retention held</t>
        </is>
      </c>
      <c r="C16" s="15">
        <f>C15</f>
        <v/>
      </c>
      <c r="D16" s="15">
        <f>C16+D15</f>
        <v/>
      </c>
      <c r="E16" s="15">
        <f>D16+E15</f>
        <v/>
      </c>
      <c r="F16" s="15">
        <f>E16+F15</f>
        <v/>
      </c>
      <c r="G16" s="15">
        <f>F16+G15</f>
        <v/>
      </c>
      <c r="H16" s="15">
        <f>G16+H15</f>
        <v/>
      </c>
      <c r="I16" s="15">
        <f>H16+I15</f>
        <v/>
      </c>
      <c r="J16" s="15">
        <f>I16+J15</f>
        <v/>
      </c>
      <c r="K16" s="15">
        <f>J16+K15</f>
        <v/>
      </c>
      <c r="L16" s="15">
        <f>K16+L15</f>
        <v/>
      </c>
      <c r="M16" s="15">
        <f>L16+M15</f>
        <v/>
      </c>
      <c r="N16" s="15">
        <f>M16+N15</f>
        <v/>
      </c>
      <c r="O16" s="15">
        <f>N16+O15</f>
        <v/>
      </c>
      <c r="P16" s="15">
        <f>O16+P15</f>
        <v/>
      </c>
      <c r="Q16" s="15">
        <f>P16+Q15</f>
        <v/>
      </c>
      <c r="R16" s="15">
        <f>Q16+R15</f>
        <v/>
      </c>
      <c r="S16" s="15">
        <f>R16+S15</f>
        <v/>
      </c>
      <c r="T16" s="15">
        <f>S16+T15</f>
        <v/>
      </c>
      <c r="U16" s="15">
        <f>T16+U15</f>
        <v/>
      </c>
      <c r="V16" s="15">
        <f>U16+V15</f>
        <v/>
      </c>
      <c r="W16" s="15">
        <f>V16+W15</f>
        <v/>
      </c>
      <c r="X16" s="15">
        <f>W16+X15</f>
        <v/>
      </c>
      <c r="Y16" s="15">
        <f>X16+Y15</f>
        <v/>
      </c>
      <c r="Z16" s="15">
        <f>Y16+Z15</f>
        <v/>
      </c>
      <c r="AA16" s="15">
        <f>Z16</f>
        <v/>
      </c>
    </row>
    <row r="18">
      <c r="B18" s="13" t="inlineStr">
        <is>
          <t>Advance payment from Employer (paid at Commencement)</t>
        </is>
      </c>
    </row>
    <row r="19">
      <c r="B19" t="inlineStr">
        <is>
          <t>Advance received (at Commencement)</t>
        </is>
      </c>
      <c r="C19" s="15">
        <f>ContractSum*AdvancePct</f>
        <v/>
      </c>
      <c r="D19" s="15" t="n">
        <v>0</v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n">
        <v>0</v>
      </c>
      <c r="N19" s="15" t="n">
        <v>0</v>
      </c>
      <c r="O19" s="15" t="n">
        <v>0</v>
      </c>
      <c r="P19" s="15" t="n">
        <v>0</v>
      </c>
      <c r="Q19" s="15" t="n">
        <v>0</v>
      </c>
      <c r="R19" s="15" t="n">
        <v>0</v>
      </c>
      <c r="S19" s="15" t="n">
        <v>0</v>
      </c>
      <c r="T19" s="15" t="n">
        <v>0</v>
      </c>
      <c r="U19" s="15" t="n">
        <v>0</v>
      </c>
      <c r="V19" s="15" t="n">
        <v>0</v>
      </c>
      <c r="W19" s="15" t="n">
        <v>0</v>
      </c>
      <c r="X19" s="15" t="n">
        <v>0</v>
      </c>
      <c r="Y19" s="15" t="n">
        <v>0</v>
      </c>
      <c r="Z19" s="15" t="n">
        <v>0</v>
      </c>
      <c r="AA19" s="15">
        <f>SUM(C19:Z19)</f>
        <v/>
      </c>
    </row>
    <row r="20">
      <c r="B20" s="13" t="inlineStr">
        <is>
          <t>Advance recovery (12% of each IPC, capped at advance)</t>
        </is>
      </c>
    </row>
    <row r="21">
      <c r="B21" t="inlineStr">
        <is>
          <t>Advance repaid via IPC</t>
        </is>
      </c>
      <c r="C21" s="20">
        <f>MIN((C12-C15)*AdvanceRecovery,ContractSum*AdvancePct)</f>
        <v/>
      </c>
      <c r="D21" s="20">
        <f>MIN((D12-D15)*AdvanceRecovery,ContractSum*AdvancePct-SUM(C21:C21))</f>
        <v/>
      </c>
      <c r="E21" s="20">
        <f>MIN((E12-E15)*AdvanceRecovery,ContractSum*AdvancePct-SUM(C21:D21))</f>
        <v/>
      </c>
      <c r="F21" s="20">
        <f>MIN((F12-F15)*AdvanceRecovery,ContractSum*AdvancePct-SUM(C21:E21))</f>
        <v/>
      </c>
      <c r="G21" s="20">
        <f>MIN((G12-G15)*AdvanceRecovery,ContractSum*AdvancePct-SUM(C21:F21))</f>
        <v/>
      </c>
      <c r="H21" s="20">
        <f>MIN((H12-H15)*AdvanceRecovery,ContractSum*AdvancePct-SUM(C21:G21))</f>
        <v/>
      </c>
      <c r="I21" s="20">
        <f>MIN((I12-I15)*AdvanceRecovery,ContractSum*AdvancePct-SUM(C21:H21))</f>
        <v/>
      </c>
      <c r="J21" s="20">
        <f>MIN((J12-J15)*AdvanceRecovery,ContractSum*AdvancePct-SUM(C21:I21))</f>
        <v/>
      </c>
      <c r="K21" s="20">
        <f>MIN((K12-K15)*AdvanceRecovery,ContractSum*AdvancePct-SUM(C21:J21))</f>
        <v/>
      </c>
      <c r="L21" s="20">
        <f>MIN((L12-L15)*AdvanceRecovery,ContractSum*AdvancePct-SUM(C21:K21))</f>
        <v/>
      </c>
      <c r="M21" s="20">
        <f>MIN((M12-M15)*AdvanceRecovery,ContractSum*AdvancePct-SUM(C21:L21))</f>
        <v/>
      </c>
      <c r="N21" s="20">
        <f>MIN((N12-N15)*AdvanceRecovery,ContractSum*AdvancePct-SUM(C21:M21))</f>
        <v/>
      </c>
      <c r="O21" s="20">
        <f>MIN((O12-O15)*AdvanceRecovery,ContractSum*AdvancePct-SUM(C21:N21))</f>
        <v/>
      </c>
      <c r="P21" s="20">
        <f>MIN((P12-P15)*AdvanceRecovery,ContractSum*AdvancePct-SUM(C21:O21))</f>
        <v/>
      </c>
      <c r="Q21" s="20">
        <f>MIN((Q12-Q15)*AdvanceRecovery,ContractSum*AdvancePct-SUM(C21:P21))</f>
        <v/>
      </c>
      <c r="R21" s="20">
        <f>MIN((R12-R15)*AdvanceRecovery,ContractSum*AdvancePct-SUM(C21:Q21))</f>
        <v/>
      </c>
      <c r="S21" s="20">
        <f>MIN((S12-S15)*AdvanceRecovery,ContractSum*AdvancePct-SUM(C21:R21))</f>
        <v/>
      </c>
      <c r="T21" s="20">
        <f>MIN((T12-T15)*AdvanceRecovery,ContractSum*AdvancePct-SUM(C21:S21))</f>
        <v/>
      </c>
      <c r="U21" s="20">
        <f>MIN((U12-U15)*AdvanceRecovery,ContractSum*AdvancePct-SUM(C21:T21))</f>
        <v/>
      </c>
      <c r="V21" s="20">
        <f>MIN((V12-V15)*AdvanceRecovery,ContractSum*AdvancePct-SUM(C21:U21))</f>
        <v/>
      </c>
      <c r="W21" s="20">
        <f>MIN((W12-W15)*AdvanceRecovery,ContractSum*AdvancePct-SUM(C21:V21))</f>
        <v/>
      </c>
      <c r="X21" s="20">
        <f>MIN((X12-X15)*AdvanceRecovery,ContractSum*AdvancePct-SUM(C21:W21))</f>
        <v/>
      </c>
      <c r="Y21" s="20">
        <f>MIN((Y12-Y15)*AdvanceRecovery,ContractSum*AdvancePct-SUM(C21:X21))</f>
        <v/>
      </c>
      <c r="Z21" s="20">
        <f>MIN((Z12-Z15)*AdvanceRecovery,ContractSum*AdvancePct-SUM(C21:Y21))</f>
        <v/>
      </c>
      <c r="AA21" s="15">
        <f>SUM(C21:Z21)</f>
        <v/>
      </c>
    </row>
    <row r="22">
      <c r="B22" s="17" t="inlineStr">
        <is>
          <t>Gross IPC (EV − retention − advance recovery)</t>
        </is>
      </c>
      <c r="C22" s="18">
        <f>C12-C15-C21</f>
        <v/>
      </c>
      <c r="D22" s="18">
        <f>D12-D15-D21</f>
        <v/>
      </c>
      <c r="E22" s="18">
        <f>E12-E15-E21</f>
        <v/>
      </c>
      <c r="F22" s="18">
        <f>F12-F15-F21</f>
        <v/>
      </c>
      <c r="G22" s="18">
        <f>G12-G15-G21</f>
        <v/>
      </c>
      <c r="H22" s="18">
        <f>H12-H15-H21</f>
        <v/>
      </c>
      <c r="I22" s="18">
        <f>I12-I15-I21</f>
        <v/>
      </c>
      <c r="J22" s="18">
        <f>J12-J15-J21</f>
        <v/>
      </c>
      <c r="K22" s="18">
        <f>K12-K15-K21</f>
        <v/>
      </c>
      <c r="L22" s="18">
        <f>L12-L15-L21</f>
        <v/>
      </c>
      <c r="M22" s="18">
        <f>M12-M15-M21</f>
        <v/>
      </c>
      <c r="N22" s="18">
        <f>N12-N15-N21</f>
        <v/>
      </c>
      <c r="O22" s="18">
        <f>O12-O15-O21</f>
        <v/>
      </c>
      <c r="P22" s="18">
        <f>P12-P15-P21</f>
        <v/>
      </c>
      <c r="Q22" s="18">
        <f>Q12-Q15-Q21</f>
        <v/>
      </c>
      <c r="R22" s="18">
        <f>R12-R15-R21</f>
        <v/>
      </c>
      <c r="S22" s="18">
        <f>S12-S15-S21</f>
        <v/>
      </c>
      <c r="T22" s="18">
        <f>T12-T15-T21</f>
        <v/>
      </c>
      <c r="U22" s="18">
        <f>U12-U15-U21</f>
        <v/>
      </c>
      <c r="V22" s="18">
        <f>V12-V15-V21</f>
        <v/>
      </c>
      <c r="W22" s="18">
        <f>W12-W15-W21</f>
        <v/>
      </c>
      <c r="X22" s="18">
        <f>X12-X15-X21</f>
        <v/>
      </c>
      <c r="Y22" s="18">
        <f>Y12-Y15-Y21</f>
        <v/>
      </c>
      <c r="Z22" s="18">
        <f>Z12-Z15-Z21</f>
        <v/>
      </c>
      <c r="AA22" s="18">
        <f>SUM(C22:Z22)</f>
        <v/>
      </c>
    </row>
    <row r="24">
      <c r="B24" s="13" t="inlineStr">
        <is>
          <t>CASH RECEIVED</t>
        </is>
      </c>
    </row>
    <row r="25">
      <c r="B25" t="inlineStr">
        <is>
          <t>Cash-in lag (months, IPCs only)</t>
        </is>
      </c>
      <c r="C25" s="16">
        <f>ROUNDUP(CashInLag/30,0)</f>
        <v/>
      </c>
    </row>
    <row r="26">
      <c r="B26" s="17" t="inlineStr">
        <is>
          <t>Cash received (advance + lagged IPCs)</t>
        </is>
      </c>
      <c r="C26" s="18">
        <f>C19</f>
        <v/>
      </c>
      <c r="D26" s="18" t="n">
        <v>0</v>
      </c>
      <c r="E26" s="18">
        <f>C22</f>
        <v/>
      </c>
      <c r="F26" s="18">
        <f>D22</f>
        <v/>
      </c>
      <c r="G26" s="18">
        <f>E22</f>
        <v/>
      </c>
      <c r="H26" s="18">
        <f>F22</f>
        <v/>
      </c>
      <c r="I26" s="18">
        <f>G22</f>
        <v/>
      </c>
      <c r="J26" s="18">
        <f>H22</f>
        <v/>
      </c>
      <c r="K26" s="18">
        <f>I22</f>
        <v/>
      </c>
      <c r="L26" s="18">
        <f>J22</f>
        <v/>
      </c>
      <c r="M26" s="18">
        <f>K22</f>
        <v/>
      </c>
      <c r="N26" s="18">
        <f>L22</f>
        <v/>
      </c>
      <c r="O26" s="18">
        <f>M22</f>
        <v/>
      </c>
      <c r="P26" s="18">
        <f>N22</f>
        <v/>
      </c>
      <c r="Q26" s="18">
        <f>O22</f>
        <v/>
      </c>
      <c r="R26" s="18">
        <f>P22</f>
        <v/>
      </c>
      <c r="S26" s="18">
        <f>Q22</f>
        <v/>
      </c>
      <c r="T26" s="18">
        <f>R22</f>
        <v/>
      </c>
      <c r="U26" s="18">
        <f>S22</f>
        <v/>
      </c>
      <c r="V26" s="18">
        <f>T22</f>
        <v/>
      </c>
      <c r="W26" s="18">
        <f>U22</f>
        <v/>
      </c>
      <c r="X26" s="18">
        <f>V22</f>
        <v/>
      </c>
      <c r="Y26" s="18">
        <f>W22</f>
        <v/>
      </c>
      <c r="Z26" s="18">
        <f>X22</f>
        <v/>
      </c>
      <c r="AA26" s="18">
        <f>SUM(C26:Z26)</f>
        <v/>
      </c>
    </row>
    <row r="27">
      <c r="B27" t="inlineStr">
        <is>
          <t>Cumulative cash received</t>
        </is>
      </c>
      <c r="C27" s="15">
        <f>C26</f>
        <v/>
      </c>
      <c r="D27" s="15">
        <f>C27+D26</f>
        <v/>
      </c>
      <c r="E27" s="15">
        <f>D27+E26</f>
        <v/>
      </c>
      <c r="F27" s="15">
        <f>E27+F26</f>
        <v/>
      </c>
      <c r="G27" s="15">
        <f>F27+G26</f>
        <v/>
      </c>
      <c r="H27" s="15">
        <f>G27+H26</f>
        <v/>
      </c>
      <c r="I27" s="15">
        <f>H27+I26</f>
        <v/>
      </c>
      <c r="J27" s="15">
        <f>I27+J26</f>
        <v/>
      </c>
      <c r="K27" s="15">
        <f>J27+K26</f>
        <v/>
      </c>
      <c r="L27" s="15">
        <f>K27+L26</f>
        <v/>
      </c>
      <c r="M27" s="15">
        <f>L27+M26</f>
        <v/>
      </c>
      <c r="N27" s="15">
        <f>M27+N26</f>
        <v/>
      </c>
      <c r="O27" s="15">
        <f>N27+O26</f>
        <v/>
      </c>
      <c r="P27" s="15">
        <f>O27+P26</f>
        <v/>
      </c>
      <c r="Q27" s="15">
        <f>P27+Q26</f>
        <v/>
      </c>
      <c r="R27" s="15">
        <f>Q27+R26</f>
        <v/>
      </c>
      <c r="S27" s="15">
        <f>R27+S26</f>
        <v/>
      </c>
      <c r="T27" s="15">
        <f>S27+T26</f>
        <v/>
      </c>
      <c r="U27" s="15">
        <f>T27+U26</f>
        <v/>
      </c>
      <c r="V27" s="15">
        <f>U27+V26</f>
        <v/>
      </c>
      <c r="W27" s="15">
        <f>V27+W26</f>
        <v/>
      </c>
      <c r="X27" s="15">
        <f>W27+X26</f>
        <v/>
      </c>
      <c r="Y27" s="15">
        <f>X27+Y26</f>
        <v/>
      </c>
      <c r="Z27" s="15">
        <f>Y27+Z26</f>
        <v/>
      </c>
      <c r="AA27" s="15">
        <f>Z27</f>
        <v/>
      </c>
    </row>
    <row r="29">
      <c r="B29" s="13" t="inlineStr">
        <is>
          <t>CASH PAID OUT (cost-loading basis)</t>
        </is>
      </c>
    </row>
    <row r="30">
      <c r="B30" s="4" t="inlineStr">
        <is>
          <t>Section 1 cost-loading spend (work done)</t>
        </is>
      </c>
      <c r="C30" s="15" t="n">
        <v>1663331</v>
      </c>
      <c r="D30" s="15" t="n">
        <v>698543</v>
      </c>
      <c r="E30" s="15" t="n">
        <v>529043</v>
      </c>
      <c r="F30" s="15" t="n">
        <v>1808568</v>
      </c>
      <c r="G30" s="15" t="n">
        <v>4688083</v>
      </c>
      <c r="H30" s="15" t="n">
        <v>2532796</v>
      </c>
      <c r="I30" s="15" t="n">
        <v>3835897</v>
      </c>
      <c r="J30" s="15" t="n">
        <v>2916930</v>
      </c>
      <c r="K30" s="15" t="n">
        <v>21249218</v>
      </c>
      <c r="L30" s="15" t="n">
        <v>827179</v>
      </c>
      <c r="M30" s="15" t="n">
        <v>1539960</v>
      </c>
      <c r="N30" s="15" t="n">
        <v>2270237</v>
      </c>
      <c r="O30" s="15" t="n">
        <v>1427055</v>
      </c>
      <c r="P30" s="15" t="n">
        <v>1431234</v>
      </c>
      <c r="Q30" s="15" t="n">
        <v>4903628</v>
      </c>
      <c r="R30" s="15" t="n">
        <v>302176</v>
      </c>
      <c r="S30" s="15" t="n">
        <v>0</v>
      </c>
      <c r="T30" s="15" t="n">
        <v>0</v>
      </c>
      <c r="U30" s="15" t="n">
        <v>0</v>
      </c>
      <c r="V30" s="15" t="n">
        <v>0</v>
      </c>
      <c r="W30" s="15" t="n">
        <v>0</v>
      </c>
      <c r="X30" s="15" t="n">
        <v>0</v>
      </c>
      <c r="Y30" s="15" t="n">
        <v>0</v>
      </c>
      <c r="Z30" s="15" t="n">
        <v>0</v>
      </c>
      <c r="AA30" s="15">
        <f>SUM(C30:Z30)</f>
        <v/>
      </c>
    </row>
    <row r="31">
      <c r="B31" s="4" t="inlineStr">
        <is>
          <t>Section 2 cost-loading spend (work done)</t>
        </is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296336</v>
      </c>
      <c r="H31" s="15" t="n">
        <v>433356</v>
      </c>
      <c r="I31" s="15" t="n">
        <v>598281</v>
      </c>
      <c r="J31" s="15" t="n">
        <v>694113</v>
      </c>
      <c r="K31" s="15" t="n">
        <v>1633336</v>
      </c>
      <c r="L31" s="15" t="n">
        <v>1444298</v>
      </c>
      <c r="M31" s="15" t="n">
        <v>2096768</v>
      </c>
      <c r="N31" s="15" t="n">
        <v>819224</v>
      </c>
      <c r="O31" s="15" t="n">
        <v>343864</v>
      </c>
      <c r="P31" s="15" t="n">
        <v>313170</v>
      </c>
      <c r="Q31" s="15" t="n">
        <v>0</v>
      </c>
      <c r="R31" s="15" t="n">
        <v>0</v>
      </c>
      <c r="S31" s="15" t="n">
        <v>0</v>
      </c>
      <c r="T31" s="15" t="n">
        <v>0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</v>
      </c>
      <c r="Z31" s="15" t="n">
        <v>0</v>
      </c>
      <c r="AA31" s="15">
        <f>SUM(C31:Z31)</f>
        <v/>
      </c>
    </row>
    <row r="32">
      <c r="B32" s="4" t="inlineStr">
        <is>
          <t>Section 3 cost-loading spend (work done)</t>
        </is>
      </c>
      <c r="C32" s="15" t="n">
        <v>0</v>
      </c>
      <c r="D32" s="15" t="n">
        <v>0</v>
      </c>
      <c r="E32" s="15" t="n">
        <v>0</v>
      </c>
      <c r="F32" s="15" t="n">
        <v>0</v>
      </c>
      <c r="G32" s="15" t="n">
        <v>197560</v>
      </c>
      <c r="H32" s="15" t="n">
        <v>532132</v>
      </c>
      <c r="I32" s="15" t="n">
        <v>413420</v>
      </c>
      <c r="J32" s="15" t="n">
        <v>0</v>
      </c>
      <c r="K32" s="15" t="n">
        <v>561687</v>
      </c>
      <c r="L32" s="15" t="n">
        <v>413269</v>
      </c>
      <c r="M32" s="15" t="n">
        <v>1857568</v>
      </c>
      <c r="N32" s="15" t="n">
        <v>1444298</v>
      </c>
      <c r="O32" s="15" t="n">
        <v>2255896</v>
      </c>
      <c r="P32" s="15" t="n">
        <v>339882</v>
      </c>
      <c r="Q32" s="15" t="n">
        <v>657033</v>
      </c>
      <c r="R32" s="15" t="n">
        <v>0</v>
      </c>
      <c r="S32" s="15" t="n">
        <v>0</v>
      </c>
      <c r="T32" s="15" t="n">
        <v>0</v>
      </c>
      <c r="U32" s="15" t="n">
        <v>0</v>
      </c>
      <c r="V32" s="15" t="n">
        <v>0</v>
      </c>
      <c r="W32" s="15" t="n">
        <v>0</v>
      </c>
      <c r="X32" s="15" t="n">
        <v>0</v>
      </c>
      <c r="Y32" s="15" t="n">
        <v>0</v>
      </c>
      <c r="Z32" s="15" t="n">
        <v>0</v>
      </c>
      <c r="AA32" s="15">
        <f>SUM(C32:Z32)</f>
        <v/>
      </c>
    </row>
    <row r="33">
      <c r="B33" s="4" t="inlineStr">
        <is>
          <t>Section 4 cost-loading spend (work done)</t>
        </is>
      </c>
      <c r="C33" s="15" t="n">
        <v>0</v>
      </c>
      <c r="D33" s="15" t="n">
        <v>35000</v>
      </c>
      <c r="E33" s="15" t="n">
        <v>0</v>
      </c>
      <c r="F33" s="15" t="n">
        <v>0</v>
      </c>
      <c r="G33" s="15" t="n">
        <v>0</v>
      </c>
      <c r="H33" s="15" t="n">
        <v>926408</v>
      </c>
      <c r="I33" s="15" t="n">
        <v>539512</v>
      </c>
      <c r="J33" s="15" t="n">
        <v>413420</v>
      </c>
      <c r="K33" s="15" t="n">
        <v>737556</v>
      </c>
      <c r="L33" s="15" t="n">
        <v>789247</v>
      </c>
      <c r="M33" s="15" t="n">
        <v>2033439</v>
      </c>
      <c r="N33" s="15" t="n">
        <v>2681595</v>
      </c>
      <c r="O33" s="15" t="n">
        <v>3369065</v>
      </c>
      <c r="P33" s="15" t="n">
        <v>819224</v>
      </c>
      <c r="Q33" s="15" t="n">
        <v>343864</v>
      </c>
      <c r="R33" s="15" t="n">
        <v>313170</v>
      </c>
      <c r="S33" s="15" t="n">
        <v>0</v>
      </c>
      <c r="T33" s="15" t="n">
        <v>0</v>
      </c>
      <c r="U33" s="15" t="n">
        <v>0</v>
      </c>
      <c r="V33" s="15" t="n">
        <v>0</v>
      </c>
      <c r="W33" s="15" t="n">
        <v>0</v>
      </c>
      <c r="X33" s="15" t="n">
        <v>0</v>
      </c>
      <c r="Y33" s="15" t="n">
        <v>0</v>
      </c>
      <c r="Z33" s="15" t="n">
        <v>0</v>
      </c>
      <c r="AA33" s="15">
        <f>SUM(C33:Z33)</f>
        <v/>
      </c>
    </row>
    <row r="34">
      <c r="B34" s="17" t="inlineStr">
        <is>
          <t>Total cost-loading spend (work done)</t>
        </is>
      </c>
      <c r="C34" s="18">
        <f>SUM(C30:C33)</f>
        <v/>
      </c>
      <c r="D34" s="18">
        <f>SUM(D30:D33)</f>
        <v/>
      </c>
      <c r="E34" s="18">
        <f>SUM(E30:E33)</f>
        <v/>
      </c>
      <c r="F34" s="18">
        <f>SUM(F30:F33)</f>
        <v/>
      </c>
      <c r="G34" s="18">
        <f>SUM(G30:G33)</f>
        <v/>
      </c>
      <c r="H34" s="18">
        <f>SUM(H30:H33)</f>
        <v/>
      </c>
      <c r="I34" s="18">
        <f>SUM(I30:I33)</f>
        <v/>
      </c>
      <c r="J34" s="18">
        <f>SUM(J30:J33)</f>
        <v/>
      </c>
      <c r="K34" s="18">
        <f>SUM(K30:K33)</f>
        <v/>
      </c>
      <c r="L34" s="18">
        <f>SUM(L30:L33)</f>
        <v/>
      </c>
      <c r="M34" s="18">
        <f>SUM(M30:M33)</f>
        <v/>
      </c>
      <c r="N34" s="18">
        <f>SUM(N30:N33)</f>
        <v/>
      </c>
      <c r="O34" s="18">
        <f>SUM(O30:O33)</f>
        <v/>
      </c>
      <c r="P34" s="18">
        <f>SUM(P30:P33)</f>
        <v/>
      </c>
      <c r="Q34" s="18">
        <f>SUM(Q30:Q33)</f>
        <v/>
      </c>
      <c r="R34" s="18">
        <f>SUM(R30:R33)</f>
        <v/>
      </c>
      <c r="S34" s="18">
        <f>SUM(S30:S33)</f>
        <v/>
      </c>
      <c r="T34" s="18">
        <f>SUM(T30:T33)</f>
        <v/>
      </c>
      <c r="U34" s="18">
        <f>SUM(U30:U33)</f>
        <v/>
      </c>
      <c r="V34" s="18">
        <f>SUM(V30:V33)</f>
        <v/>
      </c>
      <c r="W34" s="18">
        <f>SUM(W30:W33)</f>
        <v/>
      </c>
      <c r="X34" s="18">
        <f>SUM(X30:X33)</f>
        <v/>
      </c>
      <c r="Y34" s="18">
        <f>SUM(Y30:Y33)</f>
        <v/>
      </c>
      <c r="Z34" s="18">
        <f>SUM(Z30:Z33)</f>
        <v/>
      </c>
      <c r="AA34" s="18">
        <f>SUM(C34:Z34)</f>
        <v/>
      </c>
    </row>
    <row r="36">
      <c r="B36" s="13" t="inlineStr">
        <is>
          <t>Cash paid to subs (lagged)</t>
        </is>
      </c>
    </row>
    <row r="37">
      <c r="B37" t="inlineStr">
        <is>
          <t>Cash-out lag (months)</t>
        </is>
      </c>
      <c r="C37" s="16">
        <f>ROUNDUP(CashOutLag/30,0)</f>
        <v/>
      </c>
    </row>
    <row r="38">
      <c r="B38" s="17" t="inlineStr">
        <is>
          <t>Cash paid (cost-loading basis, lagged)</t>
        </is>
      </c>
      <c r="C38" s="18" t="n">
        <v>0</v>
      </c>
      <c r="D38" s="18" t="n">
        <v>0</v>
      </c>
      <c r="E38" s="18">
        <f>C34</f>
        <v/>
      </c>
      <c r="F38" s="18">
        <f>D34</f>
        <v/>
      </c>
      <c r="G38" s="18">
        <f>E34</f>
        <v/>
      </c>
      <c r="H38" s="18">
        <f>F34</f>
        <v/>
      </c>
      <c r="I38" s="18">
        <f>G34</f>
        <v/>
      </c>
      <c r="J38" s="18">
        <f>H34</f>
        <v/>
      </c>
      <c r="K38" s="18">
        <f>I34</f>
        <v/>
      </c>
      <c r="L38" s="18">
        <f>J34</f>
        <v/>
      </c>
      <c r="M38" s="18">
        <f>K34</f>
        <v/>
      </c>
      <c r="N38" s="18">
        <f>L34</f>
        <v/>
      </c>
      <c r="O38" s="18">
        <f>M34</f>
        <v/>
      </c>
      <c r="P38" s="18">
        <f>N34</f>
        <v/>
      </c>
      <c r="Q38" s="18">
        <f>O34</f>
        <v/>
      </c>
      <c r="R38" s="18">
        <f>P34</f>
        <v/>
      </c>
      <c r="S38" s="18">
        <f>Q34</f>
        <v/>
      </c>
      <c r="T38" s="18">
        <f>R34</f>
        <v/>
      </c>
      <c r="U38" s="18">
        <f>S34</f>
        <v/>
      </c>
      <c r="V38" s="18">
        <f>T34</f>
        <v/>
      </c>
      <c r="W38" s="18">
        <f>U34</f>
        <v/>
      </c>
      <c r="X38" s="18">
        <f>V34</f>
        <v/>
      </c>
      <c r="Y38" s="18">
        <f>W34</f>
        <v/>
      </c>
      <c r="Z38" s="18">
        <f>X34</f>
        <v/>
      </c>
      <c r="AA38" s="18">
        <f>SUM(C38:Z38)</f>
        <v/>
      </c>
    </row>
    <row r="39">
      <c r="B39" t="inlineStr">
        <is>
          <t>Cumulative cash paid</t>
        </is>
      </c>
      <c r="C39" s="15">
        <f>C38</f>
        <v/>
      </c>
      <c r="D39" s="15">
        <f>C39+D38</f>
        <v/>
      </c>
      <c r="E39" s="15">
        <f>D39+E38</f>
        <v/>
      </c>
      <c r="F39" s="15">
        <f>E39+F38</f>
        <v/>
      </c>
      <c r="G39" s="15">
        <f>F39+G38</f>
        <v/>
      </c>
      <c r="H39" s="15">
        <f>G39+H38</f>
        <v/>
      </c>
      <c r="I39" s="15">
        <f>H39+I38</f>
        <v/>
      </c>
      <c r="J39" s="15">
        <f>I39+J38</f>
        <v/>
      </c>
      <c r="K39" s="15">
        <f>J39+K38</f>
        <v/>
      </c>
      <c r="L39" s="15">
        <f>K39+L38</f>
        <v/>
      </c>
      <c r="M39" s="15">
        <f>L39+M38</f>
        <v/>
      </c>
      <c r="N39" s="15">
        <f>M39+N38</f>
        <v/>
      </c>
      <c r="O39" s="15">
        <f>N39+O38</f>
        <v/>
      </c>
      <c r="P39" s="15">
        <f>O39+P38</f>
        <v/>
      </c>
      <c r="Q39" s="15">
        <f>P39+Q38</f>
        <v/>
      </c>
      <c r="R39" s="15">
        <f>Q39+R38</f>
        <v/>
      </c>
      <c r="S39" s="15">
        <f>R39+S38</f>
        <v/>
      </c>
      <c r="T39" s="15">
        <f>S39+T38</f>
        <v/>
      </c>
      <c r="U39" s="15">
        <f>T39+U38</f>
        <v/>
      </c>
      <c r="V39" s="15">
        <f>U39+V38</f>
        <v/>
      </c>
      <c r="W39" s="15">
        <f>V39+W38</f>
        <v/>
      </c>
      <c r="X39" s="15">
        <f>W39+X38</f>
        <v/>
      </c>
      <c r="Y39" s="15">
        <f>X39+Y38</f>
        <v/>
      </c>
      <c r="Z39" s="15">
        <f>Y39+Z38</f>
        <v/>
      </c>
      <c r="AA39" s="15">
        <f>Z39</f>
        <v/>
      </c>
    </row>
    <row r="41">
      <c r="B41" s="13" t="inlineStr">
        <is>
          <t>Monthly net cash flow (in − out)</t>
        </is>
      </c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</row>
    <row r="42">
      <c r="B42" s="17" t="inlineStr">
        <is>
          <t>Monthly net cash flow</t>
        </is>
      </c>
      <c r="C42" s="21">
        <f>C26-C38</f>
        <v/>
      </c>
      <c r="D42" s="21">
        <f>D26-D38</f>
        <v/>
      </c>
      <c r="E42" s="21">
        <f>E26-E38</f>
        <v/>
      </c>
      <c r="F42" s="21">
        <f>F26-F38</f>
        <v/>
      </c>
      <c r="G42" s="21">
        <f>G26-G38</f>
        <v/>
      </c>
      <c r="H42" s="21">
        <f>H26-H38</f>
        <v/>
      </c>
      <c r="I42" s="21">
        <f>I26-I38</f>
        <v/>
      </c>
      <c r="J42" s="21">
        <f>J26-J38</f>
        <v/>
      </c>
      <c r="K42" s="21">
        <f>K26-K38</f>
        <v/>
      </c>
      <c r="L42" s="21">
        <f>L26-L38</f>
        <v/>
      </c>
      <c r="M42" s="21">
        <f>M26-M38</f>
        <v/>
      </c>
      <c r="N42" s="21">
        <f>N26-N38</f>
        <v/>
      </c>
      <c r="O42" s="21">
        <f>O26-O38</f>
        <v/>
      </c>
      <c r="P42" s="21">
        <f>P26-P38</f>
        <v/>
      </c>
      <c r="Q42" s="21">
        <f>Q26-Q38</f>
        <v/>
      </c>
      <c r="R42" s="21">
        <f>R26-R38</f>
        <v/>
      </c>
      <c r="S42" s="21">
        <f>S26-S38</f>
        <v/>
      </c>
      <c r="T42" s="21">
        <f>T26-T38</f>
        <v/>
      </c>
      <c r="U42" s="21">
        <f>U26-U38</f>
        <v/>
      </c>
      <c r="V42" s="21">
        <f>V26-V38</f>
        <v/>
      </c>
      <c r="W42" s="21">
        <f>W26-W38</f>
        <v/>
      </c>
      <c r="X42" s="21">
        <f>X26-X38</f>
        <v/>
      </c>
      <c r="Y42" s="21">
        <f>Y26-Y38</f>
        <v/>
      </c>
      <c r="Z42" s="21">
        <f>Z26-Z38</f>
        <v/>
      </c>
      <c r="AA42" s="21">
        <f>SUM(C42:Z42)</f>
        <v/>
      </c>
    </row>
    <row r="44">
      <c r="B44" s="13" t="inlineStr">
        <is>
          <t>NET CASH POSITION (cumulative in − cumulative out)</t>
        </is>
      </c>
    </row>
    <row r="45">
      <c r="B45" s="17" t="inlineStr">
        <is>
          <t>Net cumulative cash position</t>
        </is>
      </c>
      <c r="C45" s="21">
        <f>C27-C39</f>
        <v/>
      </c>
      <c r="D45" s="21">
        <f>D27-D39</f>
        <v/>
      </c>
      <c r="E45" s="21">
        <f>E27-E39</f>
        <v/>
      </c>
      <c r="F45" s="21">
        <f>F27-F39</f>
        <v/>
      </c>
      <c r="G45" s="21">
        <f>G27-G39</f>
        <v/>
      </c>
      <c r="H45" s="21">
        <f>H27-H39</f>
        <v/>
      </c>
      <c r="I45" s="21">
        <f>I27-I39</f>
        <v/>
      </c>
      <c r="J45" s="21">
        <f>J27-J39</f>
        <v/>
      </c>
      <c r="K45" s="21">
        <f>K27-K39</f>
        <v/>
      </c>
      <c r="L45" s="21">
        <f>L27-L39</f>
        <v/>
      </c>
      <c r="M45" s="21">
        <f>M27-M39</f>
        <v/>
      </c>
      <c r="N45" s="21">
        <f>N27-N39</f>
        <v/>
      </c>
      <c r="O45" s="21">
        <f>O27-O39</f>
        <v/>
      </c>
      <c r="P45" s="21">
        <f>P27-P39</f>
        <v/>
      </c>
      <c r="Q45" s="21">
        <f>Q27-Q39</f>
        <v/>
      </c>
      <c r="R45" s="21">
        <f>R27-R39</f>
        <v/>
      </c>
      <c r="S45" s="21">
        <f>S27-S39</f>
        <v/>
      </c>
      <c r="T45" s="21">
        <f>T27-T39</f>
        <v/>
      </c>
      <c r="U45" s="21">
        <f>U27-U39</f>
        <v/>
      </c>
      <c r="V45" s="21">
        <f>V27-V39</f>
        <v/>
      </c>
      <c r="W45" s="21">
        <f>W27-W39</f>
        <v/>
      </c>
      <c r="X45" s="21">
        <f>X27-X39</f>
        <v/>
      </c>
      <c r="Y45" s="21">
        <f>Y27-Y39</f>
        <v/>
      </c>
      <c r="Z45" s="21">
        <f>Z27-Z39</f>
        <v/>
      </c>
      <c r="AA45" s="21">
        <f>Z45</f>
        <v/>
      </c>
    </row>
    <row r="47">
      <c r="B47" s="13" t="inlineStr">
        <is>
          <t>MINIMUM CASH BUFFER (base case)</t>
        </is>
      </c>
    </row>
    <row r="48">
      <c r="B48" s="17" t="inlineStr">
        <is>
          <t>Minimum cash buffer (smallest surplus / most-negative net position)</t>
        </is>
      </c>
      <c r="C48" s="21">
        <f>MIN(C45:Z45)</f>
        <v/>
      </c>
    </row>
    <row r="49">
      <c r="B49" s="17" t="inlineStr">
        <is>
          <t>Month at which the buffer is smallest</t>
        </is>
      </c>
      <c r="C49" s="22">
        <f>INDEX(C6:Z6,MATCH(MIN(C45:Z45),C45:Z45,0))</f>
        <v/>
      </c>
    </row>
    <row r="50">
      <c r="B50" s="17" t="inlineStr">
        <is>
          <t>Peak monthly cash-out (work-done basis)</t>
        </is>
      </c>
      <c r="C50" s="18">
        <f>MAX(C34:Z34)</f>
        <v/>
      </c>
    </row>
    <row r="51">
      <c r="B51" s="17" t="inlineStr">
        <is>
          <t>End-of-project net position</t>
        </is>
      </c>
      <c r="C51" s="21">
        <f>Z45</f>
        <v/>
      </c>
    </row>
    <row r="53">
      <c r="B53" s="13" t="inlineStr">
        <is>
          <t>INTERPRETATION</t>
        </is>
      </c>
    </row>
    <row r="54">
      <c r="B54" s="23" t="inlineStr">
        <is>
          <t>Base case stays POSITIVE throughout — minimum +€4.26M SURPLUS in May 2027. No working-capital facility required in the base case.</t>
        </is>
      </c>
    </row>
    <row r="55" ht="30" customHeight="1">
      <c r="B55" s="24" t="inlineStr">
        <is>
          <t>A working-capital facility would only be required under the back-to-back sensitivity scenario (45d in / 30d out), where the cumulative net goes to −€16.58M in December 2026 — see Sensitivity sheet.</t>
        </is>
      </c>
    </row>
  </sheetData>
  <mergeCells count="2">
    <mergeCell ref="B55:H55"/>
    <mergeCell ref="B54:H54"/>
  </mergeCells>
  <conditionalFormatting sqref="C42:Z42">
    <cfRule type="cellIs" priority="1" operator="lessThan" dxfId="0">
      <formula>0</formula>
    </cfRule>
  </conditionalFormatting>
  <conditionalFormatting sqref="C45:Z45">
    <cfRule type="cellIs" priority="2" operator="lessThan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A48"/>
  <sheetViews>
    <sheetView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6" customWidth="1" min="27" max="27"/>
  </cols>
  <sheetData>
    <row r="2">
      <c r="B2" s="8" t="inlineStr">
        <is>
          <t>Sensitivity Analysis — three lag scenarios</t>
        </is>
      </c>
    </row>
    <row r="3">
      <c r="B3" s="25" t="inlineStr">
        <is>
          <t>Same monthly work-done profile; advance paid at Commencement; IPCs lagged; sub payments lagged.</t>
        </is>
      </c>
    </row>
    <row r="4">
      <c r="B4" s="19" t="inlineStr">
        <is>
          <t>Sign convention: positive = cash in hand, negative = working-capital facility required.</t>
        </is>
      </c>
    </row>
    <row r="6">
      <c r="B6" s="26" t="inlineStr">
        <is>
          <t>BASE — 45d in / 45d out</t>
        </is>
      </c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</row>
    <row r="7">
      <c r="B7" s="19" t="inlineStr">
        <is>
          <t>Minimum buffer: +€4.26M May 2027 (NO facility required)</t>
        </is>
      </c>
    </row>
    <row r="8">
      <c r="B8" s="9" t="inlineStr">
        <is>
          <t>Month</t>
        </is>
      </c>
      <c r="C8" s="9" t="inlineStr">
        <is>
          <t>Mar 2026</t>
        </is>
      </c>
      <c r="D8" s="9" t="inlineStr">
        <is>
          <t>Apr 2026</t>
        </is>
      </c>
      <c r="E8" s="9" t="inlineStr">
        <is>
          <t>May 2026</t>
        </is>
      </c>
      <c r="F8" s="9" t="inlineStr">
        <is>
          <t>Jun 2026</t>
        </is>
      </c>
      <c r="G8" s="9" t="inlineStr">
        <is>
          <t>Jul 2026</t>
        </is>
      </c>
      <c r="H8" s="9" t="inlineStr">
        <is>
          <t>Aug 2026</t>
        </is>
      </c>
      <c r="I8" s="9" t="inlineStr">
        <is>
          <t>Sep 2026</t>
        </is>
      </c>
      <c r="J8" s="9" t="inlineStr">
        <is>
          <t>Oct 2026</t>
        </is>
      </c>
      <c r="K8" s="9" t="inlineStr">
        <is>
          <t>Nov 2026</t>
        </is>
      </c>
      <c r="L8" s="9" t="inlineStr">
        <is>
          <t>Dec 2026</t>
        </is>
      </c>
      <c r="M8" s="9" t="inlineStr">
        <is>
          <t>Jan 2027</t>
        </is>
      </c>
      <c r="N8" s="9" t="inlineStr">
        <is>
          <t>Feb 2027</t>
        </is>
      </c>
      <c r="O8" s="9" t="inlineStr">
        <is>
          <t>Mar 2027</t>
        </is>
      </c>
      <c r="P8" s="9" t="inlineStr">
        <is>
          <t>Apr 2027</t>
        </is>
      </c>
      <c r="Q8" s="9" t="inlineStr">
        <is>
          <t>May 2027</t>
        </is>
      </c>
      <c r="R8" s="9" t="inlineStr">
        <is>
          <t>Jun 2027</t>
        </is>
      </c>
      <c r="S8" s="9" t="inlineStr">
        <is>
          <t>Jul 2027</t>
        </is>
      </c>
      <c r="T8" s="9" t="inlineStr">
        <is>
          <t>Aug 2027</t>
        </is>
      </c>
      <c r="U8" s="9" t="inlineStr">
        <is>
          <t>Sep 2027</t>
        </is>
      </c>
      <c r="V8" s="9" t="inlineStr">
        <is>
          <t>Oct 2027</t>
        </is>
      </c>
      <c r="W8" s="9" t="inlineStr">
        <is>
          <t>Nov 2027</t>
        </is>
      </c>
      <c r="X8" s="9" t="inlineStr">
        <is>
          <t>Dec 2027</t>
        </is>
      </c>
      <c r="Y8" s="9" t="inlineStr">
        <is>
          <t>Jan 2028</t>
        </is>
      </c>
      <c r="Z8" s="9" t="inlineStr">
        <is>
          <t>Feb 2028</t>
        </is>
      </c>
      <c r="AA8" s="9" t="inlineStr">
        <is>
          <t>Peak</t>
        </is>
      </c>
    </row>
    <row r="9">
      <c r="B9" s="4" t="inlineStr">
        <is>
          <t>Cash received (cumulative)</t>
        </is>
      </c>
      <c r="C9" s="15" t="n">
        <v>9240000</v>
      </c>
      <c r="D9" s="15" t="n">
        <v>9240000</v>
      </c>
      <c r="E9" s="15" t="n">
        <v>10788572</v>
      </c>
      <c r="F9" s="15" t="n">
        <v>11471505</v>
      </c>
      <c r="G9" s="15" t="n">
        <v>11964047</v>
      </c>
      <c r="H9" s="15" t="n">
        <v>13647835</v>
      </c>
      <c r="I9" s="15" t="n">
        <v>18472290</v>
      </c>
      <c r="J9" s="15" t="n">
        <v>22591706</v>
      </c>
      <c r="K9" s="15" t="n">
        <v>27607139</v>
      </c>
      <c r="L9" s="15" t="n">
        <v>31353939</v>
      </c>
      <c r="M9" s="15" t="n">
        <v>53867346</v>
      </c>
      <c r="N9" s="15" t="n">
        <v>57101656</v>
      </c>
      <c r="O9" s="15" t="n">
        <v>64110024</v>
      </c>
      <c r="P9" s="15" t="n">
        <v>70827565</v>
      </c>
      <c r="Q9" s="15" t="n">
        <v>77810426</v>
      </c>
      <c r="R9" s="15" t="n">
        <v>80882227</v>
      </c>
      <c r="S9" s="15" t="n">
        <v>87128988</v>
      </c>
      <c r="T9" s="15" t="n">
        <v>87780000</v>
      </c>
      <c r="U9" s="15" t="n">
        <v>87780000</v>
      </c>
      <c r="V9" s="15" t="n">
        <v>87780000</v>
      </c>
      <c r="W9" s="15" t="n">
        <v>87780000</v>
      </c>
      <c r="X9" s="15" t="n">
        <v>87780000</v>
      </c>
      <c r="Y9" s="15" t="n">
        <v>87780000</v>
      </c>
      <c r="Z9" s="15" t="n">
        <v>87780000</v>
      </c>
    </row>
    <row r="10">
      <c r="B10" s="4" t="inlineStr">
        <is>
          <t>Cash paid (cumulative)</t>
        </is>
      </c>
      <c r="C10" s="15" t="n">
        <v>0</v>
      </c>
      <c r="D10" s="15" t="n">
        <v>0</v>
      </c>
      <c r="E10" s="15" t="n">
        <v>1663331</v>
      </c>
      <c r="F10" s="15" t="n">
        <v>2396874</v>
      </c>
      <c r="G10" s="15" t="n">
        <v>2925916</v>
      </c>
      <c r="H10" s="15" t="n">
        <v>4734485</v>
      </c>
      <c r="I10" s="15" t="n">
        <v>9916463</v>
      </c>
      <c r="J10" s="15" t="n">
        <v>14341155</v>
      </c>
      <c r="K10" s="15" t="n">
        <v>19728264</v>
      </c>
      <c r="L10" s="15" t="n">
        <v>23752726</v>
      </c>
      <c r="M10" s="15" t="n">
        <v>47934524</v>
      </c>
      <c r="N10" s="15" t="n">
        <v>51408517</v>
      </c>
      <c r="O10" s="15" t="n">
        <v>58936252</v>
      </c>
      <c r="P10" s="15" t="n">
        <v>66151606</v>
      </c>
      <c r="Q10" s="15" t="n">
        <v>73547485</v>
      </c>
      <c r="R10" s="15" t="n">
        <v>76450993</v>
      </c>
      <c r="S10" s="15" t="n">
        <v>82355518</v>
      </c>
      <c r="T10" s="15" t="n">
        <v>82970863</v>
      </c>
      <c r="U10" s="15" t="n">
        <v>82970863</v>
      </c>
      <c r="V10" s="15" t="n">
        <v>82970863</v>
      </c>
      <c r="W10" s="15" t="n">
        <v>82970863</v>
      </c>
      <c r="X10" s="15" t="n">
        <v>82970863</v>
      </c>
      <c r="Y10" s="15" t="n">
        <v>82970863</v>
      </c>
      <c r="Z10" s="15" t="n">
        <v>82970863</v>
      </c>
    </row>
    <row r="11">
      <c r="B11" s="17" t="inlineStr">
        <is>
          <t>Net cash position (cumulative)</t>
        </is>
      </c>
      <c r="C11" s="21" t="n">
        <v>9240000</v>
      </c>
      <c r="D11" s="21" t="n">
        <v>9240000</v>
      </c>
      <c r="E11" s="21" t="n">
        <v>9125241</v>
      </c>
      <c r="F11" s="21" t="n">
        <v>9074631</v>
      </c>
      <c r="G11" s="21" t="n">
        <v>9038130</v>
      </c>
      <c r="H11" s="21" t="n">
        <v>8913351</v>
      </c>
      <c r="I11" s="21" t="n">
        <v>8555827</v>
      </c>
      <c r="J11" s="21" t="n">
        <v>8250551</v>
      </c>
      <c r="K11" s="21" t="n">
        <v>7878875</v>
      </c>
      <c r="L11" s="21" t="n">
        <v>7601213</v>
      </c>
      <c r="M11" s="21" t="n">
        <v>5932822</v>
      </c>
      <c r="N11" s="21" t="n">
        <v>5693139</v>
      </c>
      <c r="O11" s="21" t="n">
        <v>5173773</v>
      </c>
      <c r="P11" s="21" t="n">
        <v>4675959</v>
      </c>
      <c r="Q11" s="21" t="n">
        <v>4262941</v>
      </c>
      <c r="R11" s="21" t="n">
        <v>4431234</v>
      </c>
      <c r="S11" s="21" t="n">
        <v>4773470</v>
      </c>
      <c r="T11" s="21" t="n">
        <v>4809137</v>
      </c>
      <c r="U11" s="21" t="n">
        <v>4809137</v>
      </c>
      <c r="V11" s="21" t="n">
        <v>4809137</v>
      </c>
      <c r="W11" s="21" t="n">
        <v>4809137</v>
      </c>
      <c r="X11" s="21" t="n">
        <v>4809137</v>
      </c>
      <c r="Y11" s="21" t="n">
        <v>4809137</v>
      </c>
      <c r="Z11" s="21" t="n">
        <v>4809137</v>
      </c>
      <c r="AA11" s="21" t="n">
        <v>4262941</v>
      </c>
    </row>
    <row r="12">
      <c r="B12" s="28" t="inlineStr">
        <is>
          <t>Minimum buffer: +€4,262,941 in May 2027</t>
        </is>
      </c>
    </row>
    <row r="14">
      <c r="B14" s="29" t="inlineStr">
        <is>
          <t>SLOW-PAYER — 45d in / 75d out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</row>
    <row r="15">
      <c r="B15" s="19" t="inlineStr">
        <is>
          <t>Same profile as base (advance holds)</t>
        </is>
      </c>
    </row>
    <row r="16">
      <c r="B16" s="9" t="inlineStr">
        <is>
          <t>Month</t>
        </is>
      </c>
      <c r="C16" s="9" t="inlineStr">
        <is>
          <t>Mar 2026</t>
        </is>
      </c>
      <c r="D16" s="9" t="inlineStr">
        <is>
          <t>Apr 2026</t>
        </is>
      </c>
      <c r="E16" s="9" t="inlineStr">
        <is>
          <t>May 2026</t>
        </is>
      </c>
      <c r="F16" s="9" t="inlineStr">
        <is>
          <t>Jun 2026</t>
        </is>
      </c>
      <c r="G16" s="9" t="inlineStr">
        <is>
          <t>Jul 2026</t>
        </is>
      </c>
      <c r="H16" s="9" t="inlineStr">
        <is>
          <t>Aug 2026</t>
        </is>
      </c>
      <c r="I16" s="9" t="inlineStr">
        <is>
          <t>Sep 2026</t>
        </is>
      </c>
      <c r="J16" s="9" t="inlineStr">
        <is>
          <t>Oct 2026</t>
        </is>
      </c>
      <c r="K16" s="9" t="inlineStr">
        <is>
          <t>Nov 2026</t>
        </is>
      </c>
      <c r="L16" s="9" t="inlineStr">
        <is>
          <t>Dec 2026</t>
        </is>
      </c>
      <c r="M16" s="9" t="inlineStr">
        <is>
          <t>Jan 2027</t>
        </is>
      </c>
      <c r="N16" s="9" t="inlineStr">
        <is>
          <t>Feb 2027</t>
        </is>
      </c>
      <c r="O16" s="9" t="inlineStr">
        <is>
          <t>Mar 2027</t>
        </is>
      </c>
      <c r="P16" s="9" t="inlineStr">
        <is>
          <t>Apr 2027</t>
        </is>
      </c>
      <c r="Q16" s="9" t="inlineStr">
        <is>
          <t>May 2027</t>
        </is>
      </c>
      <c r="R16" s="9" t="inlineStr">
        <is>
          <t>Jun 2027</t>
        </is>
      </c>
      <c r="S16" s="9" t="inlineStr">
        <is>
          <t>Jul 2027</t>
        </is>
      </c>
      <c r="T16" s="9" t="inlineStr">
        <is>
          <t>Aug 2027</t>
        </is>
      </c>
      <c r="U16" s="9" t="inlineStr">
        <is>
          <t>Sep 2027</t>
        </is>
      </c>
      <c r="V16" s="9" t="inlineStr">
        <is>
          <t>Oct 2027</t>
        </is>
      </c>
      <c r="W16" s="9" t="inlineStr">
        <is>
          <t>Nov 2027</t>
        </is>
      </c>
      <c r="X16" s="9" t="inlineStr">
        <is>
          <t>Dec 2027</t>
        </is>
      </c>
      <c r="Y16" s="9" t="inlineStr">
        <is>
          <t>Jan 2028</t>
        </is>
      </c>
      <c r="Z16" s="9" t="inlineStr">
        <is>
          <t>Feb 2028</t>
        </is>
      </c>
      <c r="AA16" s="9" t="inlineStr">
        <is>
          <t>Peak</t>
        </is>
      </c>
    </row>
    <row r="17">
      <c r="B17" s="4" t="inlineStr">
        <is>
          <t>Cash received (cumulative)</t>
        </is>
      </c>
      <c r="C17" s="15" t="n">
        <v>9240000</v>
      </c>
      <c r="D17" s="15" t="n">
        <v>9240000</v>
      </c>
      <c r="E17" s="15" t="n">
        <v>10788572</v>
      </c>
      <c r="F17" s="15" t="n">
        <v>11471505</v>
      </c>
      <c r="G17" s="15" t="n">
        <v>11964047</v>
      </c>
      <c r="H17" s="15" t="n">
        <v>13647835</v>
      </c>
      <c r="I17" s="15" t="n">
        <v>18472290</v>
      </c>
      <c r="J17" s="15" t="n">
        <v>22591706</v>
      </c>
      <c r="K17" s="15" t="n">
        <v>27607139</v>
      </c>
      <c r="L17" s="15" t="n">
        <v>31353939</v>
      </c>
      <c r="M17" s="15" t="n">
        <v>53867346</v>
      </c>
      <c r="N17" s="15" t="n">
        <v>57101656</v>
      </c>
      <c r="O17" s="15" t="n">
        <v>64110024</v>
      </c>
      <c r="P17" s="15" t="n">
        <v>70827565</v>
      </c>
      <c r="Q17" s="15" t="n">
        <v>77810426</v>
      </c>
      <c r="R17" s="15" t="n">
        <v>80882227</v>
      </c>
      <c r="S17" s="15" t="n">
        <v>87128988</v>
      </c>
      <c r="T17" s="15" t="n">
        <v>87780000</v>
      </c>
      <c r="U17" s="15" t="n">
        <v>87780000</v>
      </c>
      <c r="V17" s="15" t="n">
        <v>87780000</v>
      </c>
      <c r="W17" s="15" t="n">
        <v>87780000</v>
      </c>
      <c r="X17" s="15" t="n">
        <v>87780000</v>
      </c>
      <c r="Y17" s="15" t="n">
        <v>87780000</v>
      </c>
      <c r="Z17" s="15" t="n">
        <v>87780000</v>
      </c>
    </row>
    <row r="18">
      <c r="B18" s="4" t="inlineStr">
        <is>
          <t>Cash paid (cumulative)</t>
        </is>
      </c>
      <c r="C18" s="15" t="n">
        <v>0</v>
      </c>
      <c r="D18" s="15" t="n">
        <v>0</v>
      </c>
      <c r="E18" s="15" t="n">
        <v>1663331</v>
      </c>
      <c r="F18" s="15" t="n">
        <v>2396874</v>
      </c>
      <c r="G18" s="15" t="n">
        <v>2925916</v>
      </c>
      <c r="H18" s="15" t="n">
        <v>4734485</v>
      </c>
      <c r="I18" s="15" t="n">
        <v>9916463</v>
      </c>
      <c r="J18" s="15" t="n">
        <v>14341155</v>
      </c>
      <c r="K18" s="15" t="n">
        <v>19728264</v>
      </c>
      <c r="L18" s="15" t="n">
        <v>23752726</v>
      </c>
      <c r="M18" s="15" t="n">
        <v>47934524</v>
      </c>
      <c r="N18" s="15" t="n">
        <v>51408517</v>
      </c>
      <c r="O18" s="15" t="n">
        <v>58936252</v>
      </c>
      <c r="P18" s="15" t="n">
        <v>66151606</v>
      </c>
      <c r="Q18" s="15" t="n">
        <v>73547485</v>
      </c>
      <c r="R18" s="15" t="n">
        <v>76450993</v>
      </c>
      <c r="S18" s="15" t="n">
        <v>82355518</v>
      </c>
      <c r="T18" s="15" t="n">
        <v>82970863</v>
      </c>
      <c r="U18" s="15" t="n">
        <v>82970863</v>
      </c>
      <c r="V18" s="15" t="n">
        <v>82970863</v>
      </c>
      <c r="W18" s="15" t="n">
        <v>82970863</v>
      </c>
      <c r="X18" s="15" t="n">
        <v>82970863</v>
      </c>
      <c r="Y18" s="15" t="n">
        <v>82970863</v>
      </c>
      <c r="Z18" s="15" t="n">
        <v>82970863</v>
      </c>
    </row>
    <row r="19">
      <c r="B19" s="17" t="inlineStr">
        <is>
          <t>Net cash position (cumulative)</t>
        </is>
      </c>
      <c r="C19" s="21" t="n">
        <v>9240000</v>
      </c>
      <c r="D19" s="21" t="n">
        <v>9240000</v>
      </c>
      <c r="E19" s="21" t="n">
        <v>9125241</v>
      </c>
      <c r="F19" s="21" t="n">
        <v>9074631</v>
      </c>
      <c r="G19" s="21" t="n">
        <v>9038130</v>
      </c>
      <c r="H19" s="21" t="n">
        <v>8913351</v>
      </c>
      <c r="I19" s="21" t="n">
        <v>8555827</v>
      </c>
      <c r="J19" s="21" t="n">
        <v>8250551</v>
      </c>
      <c r="K19" s="21" t="n">
        <v>7878875</v>
      </c>
      <c r="L19" s="21" t="n">
        <v>7601213</v>
      </c>
      <c r="M19" s="21" t="n">
        <v>5932822</v>
      </c>
      <c r="N19" s="21" t="n">
        <v>5693139</v>
      </c>
      <c r="O19" s="21" t="n">
        <v>5173773</v>
      </c>
      <c r="P19" s="21" t="n">
        <v>4675959</v>
      </c>
      <c r="Q19" s="21" t="n">
        <v>4262941</v>
      </c>
      <c r="R19" s="21" t="n">
        <v>4431234</v>
      </c>
      <c r="S19" s="21" t="n">
        <v>4773470</v>
      </c>
      <c r="T19" s="21" t="n">
        <v>4809137</v>
      </c>
      <c r="U19" s="21" t="n">
        <v>4809137</v>
      </c>
      <c r="V19" s="21" t="n">
        <v>4809137</v>
      </c>
      <c r="W19" s="21" t="n">
        <v>4809137</v>
      </c>
      <c r="X19" s="21" t="n">
        <v>4809137</v>
      </c>
      <c r="Y19" s="21" t="n">
        <v>4809137</v>
      </c>
      <c r="Z19" s="21" t="n">
        <v>4809137</v>
      </c>
      <c r="AA19" s="21" t="n">
        <v>4262941</v>
      </c>
    </row>
    <row r="20">
      <c r="B20" s="28" t="inlineStr">
        <is>
          <t>Minimum buffer: +€4,262,941 in May 2027</t>
        </is>
      </c>
    </row>
    <row r="22">
      <c r="B22" s="31" t="inlineStr">
        <is>
          <t>BACK-TO-BACK — 45d in / 30d out</t>
        </is>
      </c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  <c r="AA22" s="32" t="n"/>
    </row>
    <row r="23">
      <c r="B23" s="19" t="inlineStr">
        <is>
          <t>FACILITY REQUIRED: −€16.58M December 2026 (~€17–18M WC line)</t>
        </is>
      </c>
    </row>
    <row r="24">
      <c r="B24" s="9" t="inlineStr">
        <is>
          <t>Month</t>
        </is>
      </c>
      <c r="C24" s="9" t="inlineStr">
        <is>
          <t>Mar 2026</t>
        </is>
      </c>
      <c r="D24" s="9" t="inlineStr">
        <is>
          <t>Apr 2026</t>
        </is>
      </c>
      <c r="E24" s="9" t="inlineStr">
        <is>
          <t>May 2026</t>
        </is>
      </c>
      <c r="F24" s="9" t="inlineStr">
        <is>
          <t>Jun 2026</t>
        </is>
      </c>
      <c r="G24" s="9" t="inlineStr">
        <is>
          <t>Jul 2026</t>
        </is>
      </c>
      <c r="H24" s="9" t="inlineStr">
        <is>
          <t>Aug 2026</t>
        </is>
      </c>
      <c r="I24" s="9" t="inlineStr">
        <is>
          <t>Sep 2026</t>
        </is>
      </c>
      <c r="J24" s="9" t="inlineStr">
        <is>
          <t>Oct 2026</t>
        </is>
      </c>
      <c r="K24" s="9" t="inlineStr">
        <is>
          <t>Nov 2026</t>
        </is>
      </c>
      <c r="L24" s="9" t="inlineStr">
        <is>
          <t>Dec 2026</t>
        </is>
      </c>
      <c r="M24" s="9" t="inlineStr">
        <is>
          <t>Jan 2027</t>
        </is>
      </c>
      <c r="N24" s="9" t="inlineStr">
        <is>
          <t>Feb 2027</t>
        </is>
      </c>
      <c r="O24" s="9" t="inlineStr">
        <is>
          <t>Mar 2027</t>
        </is>
      </c>
      <c r="P24" s="9" t="inlineStr">
        <is>
          <t>Apr 2027</t>
        </is>
      </c>
      <c r="Q24" s="9" t="inlineStr">
        <is>
          <t>May 2027</t>
        </is>
      </c>
      <c r="R24" s="9" t="inlineStr">
        <is>
          <t>Jun 2027</t>
        </is>
      </c>
      <c r="S24" s="9" t="inlineStr">
        <is>
          <t>Jul 2027</t>
        </is>
      </c>
      <c r="T24" s="9" t="inlineStr">
        <is>
          <t>Aug 2027</t>
        </is>
      </c>
      <c r="U24" s="9" t="inlineStr">
        <is>
          <t>Sep 2027</t>
        </is>
      </c>
      <c r="V24" s="9" t="inlineStr">
        <is>
          <t>Oct 2027</t>
        </is>
      </c>
      <c r="W24" s="9" t="inlineStr">
        <is>
          <t>Nov 2027</t>
        </is>
      </c>
      <c r="X24" s="9" t="inlineStr">
        <is>
          <t>Dec 2027</t>
        </is>
      </c>
      <c r="Y24" s="9" t="inlineStr">
        <is>
          <t>Jan 2028</t>
        </is>
      </c>
      <c r="Z24" s="9" t="inlineStr">
        <is>
          <t>Feb 2028</t>
        </is>
      </c>
      <c r="AA24" s="9" t="inlineStr">
        <is>
          <t>Peak</t>
        </is>
      </c>
    </row>
    <row r="25">
      <c r="B25" s="4" t="inlineStr">
        <is>
          <t>Cash received (cumulative)</t>
        </is>
      </c>
      <c r="C25" s="15" t="n">
        <v>9240000</v>
      </c>
      <c r="D25" s="15" t="n">
        <v>9240000</v>
      </c>
      <c r="E25" s="15" t="n">
        <v>10788572</v>
      </c>
      <c r="F25" s="15" t="n">
        <v>11471505</v>
      </c>
      <c r="G25" s="15" t="n">
        <v>11964047</v>
      </c>
      <c r="H25" s="15" t="n">
        <v>13647835</v>
      </c>
      <c r="I25" s="15" t="n">
        <v>18472290</v>
      </c>
      <c r="J25" s="15" t="n">
        <v>22591706</v>
      </c>
      <c r="K25" s="15" t="n">
        <v>27607139</v>
      </c>
      <c r="L25" s="15" t="n">
        <v>31353939</v>
      </c>
      <c r="M25" s="15" t="n">
        <v>53867346</v>
      </c>
      <c r="N25" s="15" t="n">
        <v>57101656</v>
      </c>
      <c r="O25" s="15" t="n">
        <v>64110024</v>
      </c>
      <c r="P25" s="15" t="n">
        <v>70827565</v>
      </c>
      <c r="Q25" s="15" t="n">
        <v>77810426</v>
      </c>
      <c r="R25" s="15" t="n">
        <v>80882227</v>
      </c>
      <c r="S25" s="15" t="n">
        <v>87128988</v>
      </c>
      <c r="T25" s="15" t="n">
        <v>87780000</v>
      </c>
      <c r="U25" s="15" t="n">
        <v>87780000</v>
      </c>
      <c r="V25" s="15" t="n">
        <v>87780000</v>
      </c>
      <c r="W25" s="15" t="n">
        <v>87780000</v>
      </c>
      <c r="X25" s="15" t="n">
        <v>87780000</v>
      </c>
      <c r="Y25" s="15" t="n">
        <v>87780000</v>
      </c>
      <c r="Z25" s="15" t="n">
        <v>87780000</v>
      </c>
    </row>
    <row r="26">
      <c r="B26" s="4" t="inlineStr">
        <is>
          <t>Cash paid (cumulative)</t>
        </is>
      </c>
      <c r="C26" s="15" t="n">
        <v>0</v>
      </c>
      <c r="D26" s="15" t="n">
        <v>1663331</v>
      </c>
      <c r="E26" s="15" t="n">
        <v>2396874</v>
      </c>
      <c r="F26" s="15" t="n">
        <v>2925916</v>
      </c>
      <c r="G26" s="15" t="n">
        <v>4734485</v>
      </c>
      <c r="H26" s="15" t="n">
        <v>9916463</v>
      </c>
      <c r="I26" s="15" t="n">
        <v>14341155</v>
      </c>
      <c r="J26" s="15" t="n">
        <v>19728264</v>
      </c>
      <c r="K26" s="15" t="n">
        <v>23752726</v>
      </c>
      <c r="L26" s="15" t="n">
        <v>47934524</v>
      </c>
      <c r="M26" s="15" t="n">
        <v>51408517</v>
      </c>
      <c r="N26" s="15" t="n">
        <v>58936252</v>
      </c>
      <c r="O26" s="15" t="n">
        <v>66151606</v>
      </c>
      <c r="P26" s="15" t="n">
        <v>73547485</v>
      </c>
      <c r="Q26" s="15" t="n">
        <v>76450993</v>
      </c>
      <c r="R26" s="15" t="n">
        <v>82355518</v>
      </c>
      <c r="S26" s="15" t="n">
        <v>82970863</v>
      </c>
      <c r="T26" s="15" t="n">
        <v>82970863</v>
      </c>
      <c r="U26" s="15" t="n">
        <v>82970863</v>
      </c>
      <c r="V26" s="15" t="n">
        <v>82970863</v>
      </c>
      <c r="W26" s="15" t="n">
        <v>82970863</v>
      </c>
      <c r="X26" s="15" t="n">
        <v>82970863</v>
      </c>
      <c r="Y26" s="15" t="n">
        <v>82970863</v>
      </c>
      <c r="Z26" s="15" t="n">
        <v>82970863</v>
      </c>
    </row>
    <row r="27">
      <c r="B27" s="17" t="inlineStr">
        <is>
          <t>Net cash position (cumulative)</t>
        </is>
      </c>
      <c r="C27" s="21" t="n">
        <v>9240000</v>
      </c>
      <c r="D27" s="21" t="n">
        <v>7576669</v>
      </c>
      <c r="E27" s="21" t="n">
        <v>8391698</v>
      </c>
      <c r="F27" s="21" t="n">
        <v>8545588</v>
      </c>
      <c r="G27" s="21" t="n">
        <v>7229562</v>
      </c>
      <c r="H27" s="21" t="n">
        <v>3731372</v>
      </c>
      <c r="I27" s="21" t="n">
        <v>4131135</v>
      </c>
      <c r="J27" s="21" t="n">
        <v>2863442</v>
      </c>
      <c r="K27" s="21" t="n">
        <v>3854413</v>
      </c>
      <c r="L27" s="21" t="n">
        <v>-16580585</v>
      </c>
      <c r="M27" s="21" t="n">
        <v>2458829</v>
      </c>
      <c r="N27" s="21" t="n">
        <v>-1834596</v>
      </c>
      <c r="O27" s="21" t="n">
        <v>-2041582</v>
      </c>
      <c r="P27" s="21" t="n">
        <v>-2719920</v>
      </c>
      <c r="Q27" s="21" t="n">
        <v>1359433</v>
      </c>
      <c r="R27" s="21" t="n">
        <v>-1473291</v>
      </c>
      <c r="S27" s="21" t="n">
        <v>4158125</v>
      </c>
      <c r="T27" s="21" t="n">
        <v>4809137</v>
      </c>
      <c r="U27" s="21" t="n">
        <v>4809137</v>
      </c>
      <c r="V27" s="21" t="n">
        <v>4809137</v>
      </c>
      <c r="W27" s="21" t="n">
        <v>4809137</v>
      </c>
      <c r="X27" s="21" t="n">
        <v>4809137</v>
      </c>
      <c r="Y27" s="21" t="n">
        <v>4809137</v>
      </c>
      <c r="Z27" s="21" t="n">
        <v>4809137</v>
      </c>
      <c r="AA27" s="21" t="n">
        <v>-16580585</v>
      </c>
    </row>
    <row r="28">
      <c r="B28" s="33" t="inlineStr">
        <is>
          <t>FACILITY REQUIRED: −€16,580,585 in December 2026</t>
        </is>
      </c>
    </row>
    <row r="40">
      <c r="B40" s="5" t="inlineStr">
        <is>
          <t>Sensitivity summary</t>
        </is>
      </c>
    </row>
    <row r="42">
      <c r="B42" s="9" t="inlineStr">
        <is>
          <t>Scenario</t>
        </is>
      </c>
      <c r="C42" s="9" t="inlineStr">
        <is>
          <t>Cash-in lag</t>
        </is>
      </c>
      <c r="D42" s="9" t="inlineStr">
        <is>
          <t>Cash-out lag</t>
        </is>
      </c>
      <c r="E42" s="9" t="inlineStr">
        <is>
          <t>Minimum buffer / peak draw</t>
        </is>
      </c>
      <c r="F42" s="9" t="inlineStr">
        <is>
          <t>Month</t>
        </is>
      </c>
      <c r="G42" s="9" t="inlineStr">
        <is>
          <t>End net</t>
        </is>
      </c>
    </row>
    <row r="43">
      <c r="B43" s="4" t="inlineStr">
        <is>
          <t>BASE — 45d in / 45d out</t>
        </is>
      </c>
      <c r="C43" s="16" t="inlineStr">
        <is>
          <t>45 days</t>
        </is>
      </c>
      <c r="D43" s="16" t="inlineStr">
        <is>
          <t>45 days</t>
        </is>
      </c>
      <c r="E43" s="20" t="n">
        <v>4262941</v>
      </c>
      <c r="F43" s="16" t="inlineStr">
        <is>
          <t>May 2027</t>
        </is>
      </c>
      <c r="G43" s="20" t="n">
        <v>4809137</v>
      </c>
    </row>
    <row r="44">
      <c r="B44" s="4" t="inlineStr">
        <is>
          <t>SLOW-PAYER — 45d in / 75d out</t>
        </is>
      </c>
      <c r="C44" s="16" t="inlineStr">
        <is>
          <t>45 days</t>
        </is>
      </c>
      <c r="D44" s="16" t="inlineStr">
        <is>
          <t>75 days</t>
        </is>
      </c>
      <c r="E44" s="20" t="n">
        <v>4262941</v>
      </c>
      <c r="F44" s="16" t="inlineStr">
        <is>
          <t>May 2027</t>
        </is>
      </c>
      <c r="G44" s="20" t="n">
        <v>4809137</v>
      </c>
    </row>
    <row r="45">
      <c r="B45" s="4" t="inlineStr">
        <is>
          <t>BACK-TO-BACK — 45d in / 30d out</t>
        </is>
      </c>
      <c r="C45" s="16" t="inlineStr">
        <is>
          <t>45 days</t>
        </is>
      </c>
      <c r="D45" s="16" t="inlineStr">
        <is>
          <t>30 days</t>
        </is>
      </c>
      <c r="E45" s="20" t="n">
        <v>-16580585</v>
      </c>
      <c r="F45" s="16" t="inlineStr">
        <is>
          <t>Dec 2026</t>
        </is>
      </c>
      <c r="G45" s="20" t="n">
        <v>4809137</v>
      </c>
    </row>
    <row r="47">
      <c r="B47" s="6" t="inlineStr">
        <is>
          <t>CONTRAST — base case vs back-to-back</t>
        </is>
      </c>
    </row>
    <row r="48" ht="50" customHeight="1">
      <c r="B48" s="7" t="inlineStr">
        <is>
          <t>Base case (45d in / 45d out): minimum buffer +€4.26M in May 2027. No working-capital facility required.
Back-to-back (45d in / 30d out): facility required −€16.58M in December 2026. Working-capital line of approximately €17–18M needed to bridge the trough.</t>
        </is>
      </c>
    </row>
  </sheetData>
  <mergeCells count="1">
    <mergeCell ref="B48:H48"/>
  </mergeCells>
  <conditionalFormatting sqref="C11:Z11">
    <cfRule type="cellIs" priority="1" operator="lessThan" dxfId="0">
      <formula>0</formula>
    </cfRule>
  </conditionalFormatting>
  <conditionalFormatting sqref="C19:Z19">
    <cfRule type="cellIs" priority="2" operator="lessThan" dxfId="0">
      <formula>0</formula>
    </cfRule>
  </conditionalFormatting>
  <conditionalFormatting sqref="C27:Z27">
    <cfRule type="cellIs" priority="3" operator="less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32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50" customWidth="1" min="4" max="4"/>
    <col width="35" customWidth="1" min="5" max="5"/>
    <col width="8" customWidth="1" min="6" max="6"/>
    <col width="8" customWidth="1" min="7" max="7"/>
    <col width="9" customWidth="1" min="8" max="8"/>
    <col width="50" customWidth="1" min="9" max="9"/>
    <col width="22" customWidth="1" min="10" max="10"/>
    <col width="8" customWidth="1" min="11" max="11"/>
    <col width="8" customWidth="1" min="12" max="12"/>
    <col width="11" customWidth="1" min="13" max="13"/>
    <col width="18" customWidth="1" min="14" max="14"/>
  </cols>
  <sheetData>
    <row r="2">
      <c r="B2" s="8" t="inlineStr">
        <is>
          <t>Risk Register — scored, owner-assigned, with residual position</t>
        </is>
      </c>
    </row>
    <row r="3">
      <c r="B3" s="25" t="inlineStr">
        <is>
          <t>L/I scored 1–5 (1 low, 5 high). Score = L × I. Residual after mitigation. 16 risks.</t>
        </is>
      </c>
    </row>
    <row r="5">
      <c r="B5" s="9" t="inlineStr">
        <is>
          <t>ID</t>
        </is>
      </c>
      <c r="C5" s="9" t="inlineStr">
        <is>
          <t>Category</t>
        </is>
      </c>
      <c r="D5" s="9" t="inlineStr">
        <is>
          <t>Risk</t>
        </is>
      </c>
      <c r="E5" s="9" t="inlineStr">
        <is>
          <t>Trigger</t>
        </is>
      </c>
      <c r="F5" s="9" t="inlineStr">
        <is>
          <t>L</t>
        </is>
      </c>
      <c r="G5" s="9" t="inlineStr">
        <is>
          <t>I</t>
        </is>
      </c>
      <c r="H5" s="9" t="inlineStr">
        <is>
          <t>Score</t>
        </is>
      </c>
      <c r="I5" s="9" t="inlineStr">
        <is>
          <t>Mitigation</t>
        </is>
      </c>
      <c r="J5" s="9" t="inlineStr">
        <is>
          <t>Owner</t>
        </is>
      </c>
      <c r="K5" s="9" t="inlineStr">
        <is>
          <t>R-L</t>
        </is>
      </c>
      <c r="L5" s="9" t="inlineStr">
        <is>
          <t>R-I</t>
        </is>
      </c>
      <c r="M5" s="9" t="inlineStr">
        <is>
          <t>R-Score</t>
        </is>
      </c>
      <c r="N5" s="9" t="inlineStr">
        <is>
          <t>Status</t>
        </is>
      </c>
    </row>
    <row r="6" ht="60" customHeight="1">
      <c r="B6" s="34" t="inlineStr">
        <is>
          <t>R-01</t>
        </is>
      </c>
      <c r="C6" s="34" t="inlineStr">
        <is>
          <t>Procurement</t>
        </is>
      </c>
      <c r="D6" s="35" t="inlineStr">
        <is>
          <t>Transformer advance procurement — LT-01 carries −6.4 weeks float; order-by 16 Jan 2026 BEFORE Commencement Date 2 Mar 2026</t>
        </is>
      </c>
      <c r="E6" s="35" t="inlineStr">
        <is>
          <t>Section 1 TfC unachievable without pre-commencement order or formal advance procurement instruction</t>
        </is>
      </c>
      <c r="F6" s="34" t="n">
        <v>5</v>
      </c>
      <c r="G6" s="34" t="n">
        <v>5</v>
      </c>
      <c r="H6" s="34" t="n">
        <v>25</v>
      </c>
      <c r="I6" s="35" t="inlineStr">
        <is>
          <t>Pre-Commencement order under letter of intent; or formal advance procurement instruction in contract amendment</t>
        </is>
      </c>
      <c r="J6" s="36" t="inlineStr">
        <is>
          <t>PM + Procurement</t>
        </is>
      </c>
      <c r="K6" s="34" t="n">
        <v>2</v>
      </c>
      <c r="L6" s="34" t="n">
        <v>4</v>
      </c>
      <c r="M6" s="37" t="n">
        <v>8</v>
      </c>
      <c r="N6" s="36" t="inlineStr">
        <is>
          <t>Active — board approval required</t>
        </is>
      </c>
    </row>
    <row r="7" ht="60" customHeight="1">
      <c r="B7" s="34" t="inlineStr">
        <is>
          <t>R-02</t>
        </is>
      </c>
      <c r="C7" s="34" t="inlineStr">
        <is>
          <t>Site</t>
        </is>
      </c>
      <c r="D7" s="35" t="inlineStr">
        <is>
          <t>Single vehicular gate (Tikkurilantie) — every package depends on it; muck-away peak 18–22 lorries/day</t>
        </is>
      </c>
      <c r="E7" s="35" t="inlineStr">
        <is>
          <t>Gate blocked, neighbour complaint, or planning-permission restriction</t>
        </is>
      </c>
      <c r="F7" s="34" t="n">
        <v>3</v>
      </c>
      <c r="G7" s="34" t="n">
        <v>4</v>
      </c>
      <c r="H7" s="34" t="n">
        <v>12</v>
      </c>
      <c r="I7" s="35" t="inlineStr">
        <is>
          <t>Phased muck-away plan, wheel wash, traffic marshal, neighbour liaison; one-way circulation if required</t>
        </is>
      </c>
      <c r="J7" s="36" t="inlineStr">
        <is>
          <t>Site Manager</t>
        </is>
      </c>
      <c r="K7" s="34" t="n">
        <v>2</v>
      </c>
      <c r="L7" s="34" t="n">
        <v>3</v>
      </c>
      <c r="M7" s="38" t="n">
        <v>6</v>
      </c>
      <c r="N7" s="36" t="inlineStr">
        <is>
          <t>Mitigated</t>
        </is>
      </c>
    </row>
    <row r="8" ht="60" customHeight="1">
      <c r="B8" s="34" t="inlineStr">
        <is>
          <t>R-03</t>
        </is>
      </c>
      <c r="C8" s="34" t="inlineStr">
        <is>
          <t>Site/Statutory</t>
        </is>
      </c>
      <c r="D8" s="35" t="inlineStr">
        <is>
          <t>110 kV overhead line crosses plot — DNO written permission required before ST-1310 precast at substation</t>
        </is>
      </c>
      <c r="E8" s="35" t="inlineStr">
        <is>
          <t>DNO refuses or delays consent; Section 1 energisation blocked</t>
        </is>
      </c>
      <c r="F8" s="34" t="n">
        <v>3</v>
      </c>
      <c r="G8" s="34" t="n">
        <v>5</v>
      </c>
      <c r="H8" s="34" t="n">
        <v>15</v>
      </c>
      <c r="I8" s="35" t="inlineStr">
        <is>
          <t>DNO engagement plan; submit application at Commencement; design substation layout to minimise constraint</t>
        </is>
      </c>
      <c r="J8" s="36" t="inlineStr">
        <is>
          <t>Engineering Manager</t>
        </is>
      </c>
      <c r="K8" s="34" t="n">
        <v>2</v>
      </c>
      <c r="L8" s="34" t="n">
        <v>3</v>
      </c>
      <c r="M8" s="38" t="n">
        <v>6</v>
      </c>
      <c r="N8" s="36" t="inlineStr">
        <is>
          <t>Active — submit early</t>
        </is>
      </c>
    </row>
    <row r="9" ht="60" customHeight="1">
      <c r="B9" s="34" t="inlineStr">
        <is>
          <t>R-04</t>
        </is>
      </c>
      <c r="C9" s="34" t="inlineStr">
        <is>
          <t>Site</t>
        </is>
      </c>
      <c r="D9" s="35" t="inlineStr">
        <is>
          <t>Permanent car park (built Sep–Oct 2027) sits on temporary staff parking footprint — compound must move first</t>
        </is>
      </c>
      <c r="E9" s="35" t="inlineStr">
        <is>
          <t>Compound move delayed; permanent works land-use blocked; admin/NOC delayed</t>
        </is>
      </c>
      <c r="F9" s="34" t="n">
        <v>3</v>
      </c>
      <c r="G9" s="34" t="n">
        <v>3</v>
      </c>
      <c r="H9" s="34" t="n">
        <v>9</v>
      </c>
      <c r="I9" s="35" t="inlineStr">
        <is>
          <t>Compound move planned into Section 3 completion; alternative compound location identified</t>
        </is>
      </c>
      <c r="J9" s="36" t="inlineStr">
        <is>
          <t>Site Manager</t>
        </is>
      </c>
      <c r="K9" s="34" t="n">
        <v>2</v>
      </c>
      <c r="L9" s="34" t="n">
        <v>2</v>
      </c>
      <c r="M9" s="38" t="n">
        <v>4</v>
      </c>
      <c r="N9" s="36" t="inlineStr">
        <is>
          <t>Mitigated</t>
        </is>
      </c>
    </row>
    <row r="10" ht="60" customHeight="1">
      <c r="B10" s="34" t="inlineStr">
        <is>
          <t>R-05</t>
        </is>
      </c>
      <c r="C10" s="34" t="inlineStr">
        <is>
          <t>Programme/Commercial</t>
        </is>
      </c>
      <c r="D10" s="35" t="inlineStr">
        <is>
          <t>Sectional completion assumes firm grid energisation on 12 March 2027 (MS-09); Section 1 TOC depends on it</t>
        </is>
      </c>
      <c r="E10" s="35" t="inlineStr">
        <is>
          <t>DNO energisation delayed beyond 12 Mar 2027</t>
        </is>
      </c>
      <c r="F10" s="34" t="n">
        <v>3</v>
      </c>
      <c r="G10" s="34" t="n">
        <v>5</v>
      </c>
      <c r="H10" s="34" t="n">
        <v>15</v>
      </c>
      <c r="I10" s="35" t="inlineStr">
        <is>
          <t>Maintain DNO outage window application (16-week lead); backup temporary generator plan for commissioning</t>
        </is>
      </c>
      <c r="J10" s="36" t="inlineStr">
        <is>
          <t>PM + Engineering Mgr</t>
        </is>
      </c>
      <c r="K10" s="34" t="n">
        <v>2</v>
      </c>
      <c r="L10" s="34" t="n">
        <v>4</v>
      </c>
      <c r="M10" s="37" t="n">
        <v>8</v>
      </c>
      <c r="N10" s="36" t="inlineStr">
        <is>
          <t>Active — DNO engagement</t>
        </is>
      </c>
    </row>
    <row r="11" ht="60" customHeight="1">
      <c r="B11" s="34" t="inlineStr">
        <is>
          <t>R-06</t>
        </is>
      </c>
      <c r="C11" s="34" t="inlineStr">
        <is>
          <t>Site/Safety</t>
        </is>
      </c>
      <c r="D11" s="35" t="inlineStr">
        <is>
          <t>Rock blasting in glacial till — vibration limits, neighbour coordination, NW corner watching brief if archaeology triggered</t>
        </is>
      </c>
      <c r="E11" s="35" t="inlineStr">
        <is>
          <t>Vibration exceedance at residential boundary; archaeological find</t>
        </is>
      </c>
      <c r="F11" s="34" t="n">
        <v>3</v>
      </c>
      <c r="G11" s="34" t="n">
        <v>4</v>
      </c>
      <c r="H11" s="34" t="n">
        <v>12</v>
      </c>
      <c r="I11" s="35" t="inlineStr">
        <is>
          <t>Pre-condition survey of neighbours; vibration monitoring; blasting 08:00–18:00 Mon–Fri only; watching brief standby</t>
        </is>
      </c>
      <c r="J11" s="36" t="inlineStr">
        <is>
          <t>Site Manager + H&amp;S</t>
        </is>
      </c>
      <c r="K11" s="34" t="n">
        <v>2</v>
      </c>
      <c r="L11" s="34" t="n">
        <v>3</v>
      </c>
      <c r="M11" s="38" t="n">
        <v>6</v>
      </c>
      <c r="N11" s="36" t="inlineStr">
        <is>
          <t>Mitigated</t>
        </is>
      </c>
    </row>
    <row r="12" ht="60" customHeight="1">
      <c r="B12" s="34" t="inlineStr">
        <is>
          <t>R-07</t>
        </is>
      </c>
      <c r="C12" s="34" t="inlineStr">
        <is>
          <t>Commercial</t>
        </is>
      </c>
      <c r="D12" s="35" t="inlineStr">
        <is>
          <t>Subcontract back-to-back risk — Ilmatek Rev1 narrowed some terms; remaining 7 packages need same back-to-back protection</t>
        </is>
      </c>
      <c r="E12" s="35" t="inlineStr">
        <is>
          <t>Subcontract terms diverge from main contract; back-charges and LD exposure</t>
        </is>
      </c>
      <c r="F12" s="34" t="n">
        <v>4</v>
      </c>
      <c r="G12" s="34" t="n">
        <v>4</v>
      </c>
      <c r="H12" s="34" t="n">
        <v>16</v>
      </c>
      <c r="I12" s="35" t="inlineStr">
        <is>
          <t>Standard back-to-back clause in all subcontracts; legal review before each award; payments 45d as base</t>
        </is>
      </c>
      <c r="J12" s="36" t="inlineStr">
        <is>
          <t>Commercial Manager</t>
        </is>
      </c>
      <c r="K12" s="34" t="n">
        <v>2</v>
      </c>
      <c r="L12" s="34" t="n">
        <v>3</v>
      </c>
      <c r="M12" s="38" t="n">
        <v>6</v>
      </c>
      <c r="N12" s="36" t="inlineStr">
        <is>
          <t>Active — standardise</t>
        </is>
      </c>
    </row>
    <row r="13" ht="60" customHeight="1">
      <c r="B13" s="34" t="inlineStr">
        <is>
          <t>R-08</t>
        </is>
      </c>
      <c r="C13" s="34" t="inlineStr">
        <is>
          <t>Commercial</t>
        </is>
      </c>
      <c r="D13" s="35" t="inlineStr">
        <is>
          <t>Cash-flow peak — under back-to-back sub payment terms (45d in / 30d out) the project draws up to −€16.58M in December 2026</t>
        </is>
      </c>
      <c r="E13" s="35" t="inlineStr">
        <is>
          <t>Employer delays IPC; subs press for shorter payment terms</t>
        </is>
      </c>
      <c r="F13" s="34" t="n">
        <v>2</v>
      </c>
      <c r="G13" s="34" t="n">
        <v>4</v>
      </c>
      <c r="H13" s="34" t="n">
        <v>8</v>
      </c>
      <c r="I13" s="35" t="inlineStr">
        <is>
          <t>Base case needs no WC facility; back-to-back scenario requires ~€17–18M WC line — flag now for finance team</t>
        </is>
      </c>
      <c r="J13" s="36" t="inlineStr">
        <is>
          <t>Commercial Mgr + Finance</t>
        </is>
      </c>
      <c r="K13" s="34" t="n">
        <v>1</v>
      </c>
      <c r="L13" s="34" t="n">
        <v>3</v>
      </c>
      <c r="M13" s="38" t="n">
        <v>3</v>
      </c>
      <c r="N13" s="36" t="inlineStr">
        <is>
          <t>Mitigated</t>
        </is>
      </c>
    </row>
    <row r="14" ht="60" customHeight="1">
      <c r="B14" s="34" t="inlineStr">
        <is>
          <t>R-09</t>
        </is>
      </c>
      <c r="C14" s="34" t="inlineStr">
        <is>
          <t>Programme/Procurement</t>
        </is>
      </c>
      <c r="D14" s="35" t="inlineStr">
        <is>
          <t>Winter install of dry coolers (LT-08) and WHR plant — seasonal constraint on commissioning</t>
        </is>
      </c>
      <c r="E14" s="35" t="inlineStr">
        <is>
          <t>Cold weather delays install or commissioning; missed heating-season test window</t>
        </is>
      </c>
      <c r="F14" s="34" t="n">
        <v>3</v>
      </c>
      <c r="G14" s="34" t="n">
        <v>3</v>
      </c>
      <c r="H14" s="34" t="n">
        <v>9</v>
      </c>
      <c r="I14" s="35" t="inlineStr">
        <is>
          <t>Schedule dry-cooler install for Q1 2027; WHR test tied to heating season Oct–Apr; protect floats</t>
        </is>
      </c>
      <c r="J14" s="36" t="inlineStr">
        <is>
          <t>Engineering Manager</t>
        </is>
      </c>
      <c r="K14" s="34" t="n">
        <v>2</v>
      </c>
      <c r="L14" s="34" t="n">
        <v>2</v>
      </c>
      <c r="M14" s="38" t="n">
        <v>4</v>
      </c>
      <c r="N14" s="36" t="inlineStr">
        <is>
          <t>Mitigated</t>
        </is>
      </c>
    </row>
    <row r="15" ht="60" customHeight="1">
      <c r="B15" s="34" t="inlineStr">
        <is>
          <t>R-10</t>
        </is>
      </c>
      <c r="C15" s="34" t="inlineStr">
        <is>
          <t>Commercial</t>
        </is>
      </c>
      <c r="D15" s="35" t="inlineStr">
        <is>
          <t>LD cap exposure — 10% aggregate = €9.24M; concurrent delays across Sections accrue cumulatively to cap</t>
        </is>
      </c>
      <c r="E15" s="35" t="inlineStr">
        <is>
          <t>Concurrent delay across Sections 1 and 2 (or 3, 4)</t>
        </is>
      </c>
      <c r="F15" s="34" t="n">
        <v>2</v>
      </c>
      <c r="G15" s="34" t="n">
        <v>5</v>
      </c>
      <c r="H15" s="34" t="n">
        <v>10</v>
      </c>
      <c r="I15" s="35" t="inlineStr">
        <is>
          <t>Sectional programme float identified; concurrent-delay apportionment by Engineer (SP-7); maintain programme evidence</t>
        </is>
      </c>
      <c r="J15" s="36" t="inlineStr">
        <is>
          <t>PM + Planner</t>
        </is>
      </c>
      <c r="K15" s="34" t="n">
        <v>1</v>
      </c>
      <c r="L15" s="34" t="n">
        <v>4</v>
      </c>
      <c r="M15" s="38" t="n">
        <v>4</v>
      </c>
      <c r="N15" s="36" t="inlineStr">
        <is>
          <t>Mitigated</t>
        </is>
      </c>
    </row>
    <row r="16" ht="60" customHeight="1">
      <c r="B16" s="34" t="inlineStr">
        <is>
          <t>R-11</t>
        </is>
      </c>
      <c r="C16" s="34" t="inlineStr">
        <is>
          <t>Commercial</t>
        </is>
      </c>
      <c r="D16" s="35" t="inlineStr">
        <is>
          <t>Advance payment guarantee cost (bank fee) not yet costed in prelims</t>
        </is>
      </c>
      <c r="E16" s="35" t="inlineStr">
        <is>
          <t>Bank fee higher than expected; finance cost overrun</t>
        </is>
      </c>
      <c r="F16" s="34" t="n">
        <v>2</v>
      </c>
      <c r="G16" s="34" t="n">
        <v>2</v>
      </c>
      <c r="H16" s="34" t="n">
        <v>4</v>
      </c>
      <c r="I16" s="35" t="inlineStr">
        <is>
          <t>Confirm bank quote; include in prelims budget if not already</t>
        </is>
      </c>
      <c r="J16" s="36" t="inlineStr">
        <is>
          <t>Finance</t>
        </is>
      </c>
      <c r="K16" s="34" t="n">
        <v>1</v>
      </c>
      <c r="L16" s="34" t="n">
        <v>2</v>
      </c>
      <c r="M16" s="38" t="n">
        <v>2</v>
      </c>
      <c r="N16" s="36" t="inlineStr">
        <is>
          <t>Active — confirm</t>
        </is>
      </c>
    </row>
    <row r="17" ht="60" customHeight="1">
      <c r="B17" s="34" t="inlineStr">
        <is>
          <t>R-12</t>
        </is>
      </c>
      <c r="C17" s="34" t="inlineStr">
        <is>
          <t>Commercial</t>
        </is>
      </c>
      <c r="D17" s="35" t="inlineStr">
        <is>
          <t>Retention release on Sections 1 and 4 only — creates working-capital tail; balance held until Section 4 TOC (Jan 2028)</t>
        </is>
      </c>
      <c r="E17" s="35" t="inlineStr">
        <is>
          <t>Defects claim at Section 4; retention partially withheld</t>
        </is>
      </c>
      <c r="F17" s="34" t="n">
        <v>2</v>
      </c>
      <c r="G17" s="34" t="n">
        <v>3</v>
      </c>
      <c r="H17" s="34" t="n">
        <v>6</v>
      </c>
      <c r="I17" s="35" t="inlineStr">
        <is>
          <t>Defects management plan; prompt rectification of snagging at TOC</t>
        </is>
      </c>
      <c r="J17" s="36" t="inlineStr">
        <is>
          <t>Commercial Manager</t>
        </is>
      </c>
      <c r="K17" s="34" t="n">
        <v>1</v>
      </c>
      <c r="L17" s="34" t="n">
        <v>2</v>
      </c>
      <c r="M17" s="38" t="n">
        <v>2</v>
      </c>
      <c r="N17" s="36" t="inlineStr">
        <is>
          <t>Mitigated</t>
        </is>
      </c>
    </row>
    <row r="18" ht="60" customHeight="1">
      <c r="B18" s="34" t="inlineStr">
        <is>
          <t>R-13</t>
        </is>
      </c>
      <c r="C18" s="34" t="inlineStr">
        <is>
          <t>Commercial</t>
        </is>
      </c>
      <c r="D18" s="35" t="inlineStr">
        <is>
          <t>45-day employer payment with no discount — finance cost if delayed; financing charges 2% above ECB</t>
        </is>
      </c>
      <c r="E18" s="35" t="inlineStr">
        <is>
          <t>Employer delays IPC payment</t>
        </is>
      </c>
      <c r="F18" s="34" t="n">
        <v>3</v>
      </c>
      <c r="G18" s="34" t="n">
        <v>3</v>
      </c>
      <c r="H18" s="34" t="n">
        <v>9</v>
      </c>
      <c r="I18" s="35" t="inlineStr">
        <is>
          <t>Monitor IPC ageing; flag to PM at 30d; financing charges claimable</t>
        </is>
      </c>
      <c r="J18" s="36" t="inlineStr">
        <is>
          <t>Commercial Manager</t>
        </is>
      </c>
      <c r="K18" s="34" t="n">
        <v>2</v>
      </c>
      <c r="L18" s="34" t="n">
        <v>2</v>
      </c>
      <c r="M18" s="38" t="n">
        <v>4</v>
      </c>
      <c r="N18" s="36" t="inlineStr">
        <is>
          <t>Mitigated</t>
        </is>
      </c>
    </row>
    <row r="19" ht="60" customHeight="1">
      <c r="B19" s="34" t="inlineStr">
        <is>
          <t>R-14</t>
        </is>
      </c>
      <c r="C19" s="34" t="inlineStr">
        <is>
          <t>Statutory</t>
        </is>
      </c>
      <c r="D19" s="35" t="inlineStr">
        <is>
          <t>Permits — planning condition discharge; statutory supervisors must be approved before works start</t>
        </is>
      </c>
      <c r="E19" s="35" t="inlineStr">
        <is>
          <t>Permit delayed; cannot start earthworks or structure</t>
        </is>
      </c>
      <c r="F19" s="34" t="n">
        <v>2</v>
      </c>
      <c r="G19" s="34" t="n">
        <v>4</v>
      </c>
      <c r="H19" s="34" t="n">
        <v>8</v>
      </c>
      <c r="I19" s="35" t="inlineStr">
        <is>
          <t>Submit statutory supervisor nominations at Commencement; PDC-PP-001 conditions tracked</t>
        </is>
      </c>
      <c r="J19" s="36" t="inlineStr">
        <is>
          <t>Engineering Manager</t>
        </is>
      </c>
      <c r="K19" s="34" t="n">
        <v>1</v>
      </c>
      <c r="L19" s="34" t="n">
        <v>3</v>
      </c>
      <c r="M19" s="38" t="n">
        <v>3</v>
      </c>
      <c r="N19" s="36" t="inlineStr">
        <is>
          <t>Mitigated</t>
        </is>
      </c>
    </row>
    <row r="20" ht="60" customHeight="1">
      <c r="B20" s="34" t="inlineStr">
        <is>
          <t>R-15</t>
        </is>
      </c>
      <c r="C20" s="34" t="inlineStr">
        <is>
          <t>Commercial/Programme</t>
        </is>
      </c>
      <c r="D20" s="35" t="inlineStr">
        <is>
          <t>Tenant technical acceptance dependencies on Sectional Completion (Anchor Tenant Technical Annex)</t>
        </is>
      </c>
      <c r="E20" s="35" t="inlineStr">
        <is>
          <t>Tenant technical acceptance delayed; TOC delayed</t>
        </is>
      </c>
      <c r="F20" s="34" t="n">
        <v>3</v>
      </c>
      <c r="G20" s="34" t="n">
        <v>4</v>
      </c>
      <c r="H20" s="34" t="n">
        <v>12</v>
      </c>
      <c r="I20" s="35" t="inlineStr">
        <is>
          <t>Engage anchor tenant early; align technical-acceptance protocol with Section 1 commissioning</t>
        </is>
      </c>
      <c r="J20" s="36" t="inlineStr">
        <is>
          <t>PM + Commercial Mgr</t>
        </is>
      </c>
      <c r="K20" s="34" t="n">
        <v>2</v>
      </c>
      <c r="L20" s="34" t="n">
        <v>3</v>
      </c>
      <c r="M20" s="38" t="n">
        <v>6</v>
      </c>
      <c r="N20" s="36" t="inlineStr">
        <is>
          <t>Active — engage</t>
        </is>
      </c>
    </row>
    <row r="21" ht="60" customHeight="1">
      <c r="B21" s="34" t="inlineStr">
        <is>
          <t>R-16</t>
        </is>
      </c>
      <c r="C21" s="34" t="inlineStr">
        <is>
          <t>Programme/Commercial</t>
        </is>
      </c>
      <c r="D21" s="35" t="inlineStr">
        <is>
          <t>Commencement-date conflict — PC RevC specifies 2 March 2026; baseline schedule uses 1 March 2026. All sectional TfCs and milestone dates key off the Commencement Date.</t>
        </is>
      </c>
      <c r="E21" s="35" t="inlineStr">
        <is>
          <t>Discrepancy persists into executed programme; ambiguity at the monthly level cascades through TfCs, milestone gates, and long-lead order-by dates</t>
        </is>
      </c>
      <c r="F21" s="34" t="n">
        <v>3</v>
      </c>
      <c r="G21" s="34" t="n">
        <v>4</v>
      </c>
      <c r="H21" s="34" t="n">
        <v>12</v>
      </c>
      <c r="I21" s="35" t="inlineStr">
        <is>
          <t>Use PC RevC date (2 Mar 2026) as authority in all board documentation; align baseline schedule with the PC date before execution; planner to re-anchor the network</t>
        </is>
      </c>
      <c r="J21" s="36" t="inlineStr">
        <is>
          <t>PM + Planner</t>
        </is>
      </c>
      <c r="K21" s="34" t="n">
        <v>1</v>
      </c>
      <c r="L21" s="34" t="n">
        <v>4</v>
      </c>
      <c r="M21" s="38" t="n">
        <v>4</v>
      </c>
      <c r="N21" s="36" t="inlineStr">
        <is>
          <t>Active — planner to align baseline</t>
        </is>
      </c>
    </row>
    <row r="23">
      <c r="B23" s="6" t="inlineStr">
        <is>
          <t>Top risks by residual score</t>
        </is>
      </c>
    </row>
    <row r="24">
      <c r="B24" s="9" t="inlineStr">
        <is>
          <t>Rank</t>
        </is>
      </c>
      <c r="C24" s="9" t="inlineStr">
        <is>
          <t>ID</t>
        </is>
      </c>
      <c r="D24" s="9" t="inlineStr">
        <is>
          <t>Risk</t>
        </is>
      </c>
      <c r="E24" s="9" t="inlineStr">
        <is>
          <t>R-Score</t>
        </is>
      </c>
      <c r="F24" s="9" t="inlineStr">
        <is>
          <t>Owner</t>
        </is>
      </c>
    </row>
    <row r="25">
      <c r="B25" s="16" t="n">
        <v>1</v>
      </c>
      <c r="C25" s="16" t="inlineStr">
        <is>
          <t>R-01</t>
        </is>
      </c>
      <c r="D25" s="4" t="inlineStr">
        <is>
          <t>Transformer advance procurement — LT-01 carries −6.4 weeks f</t>
        </is>
      </c>
      <c r="E25" s="16" t="n">
        <v>8</v>
      </c>
      <c r="F25" s="4" t="inlineStr">
        <is>
          <t>PM + Procurement</t>
        </is>
      </c>
    </row>
    <row r="26">
      <c r="B26" s="16" t="n">
        <v>2</v>
      </c>
      <c r="C26" s="16" t="inlineStr">
        <is>
          <t>R-05</t>
        </is>
      </c>
      <c r="D26" s="4" t="inlineStr">
        <is>
          <t>Sectional completion assumes firm grid energisation on 12 Ma</t>
        </is>
      </c>
      <c r="E26" s="16" t="n">
        <v>8</v>
      </c>
      <c r="F26" s="4" t="inlineStr">
        <is>
          <t>PM + Engineering Mgr</t>
        </is>
      </c>
    </row>
    <row r="27">
      <c r="B27" s="16" t="n">
        <v>3</v>
      </c>
      <c r="C27" s="16" t="inlineStr">
        <is>
          <t>R-02</t>
        </is>
      </c>
      <c r="D27" s="4" t="inlineStr">
        <is>
          <t>Single vehicular gate (Tikkurilantie) — every package depend</t>
        </is>
      </c>
      <c r="E27" s="16" t="n">
        <v>6</v>
      </c>
      <c r="F27" s="4" t="inlineStr">
        <is>
          <t>Site Manager</t>
        </is>
      </c>
    </row>
    <row r="28">
      <c r="B28" s="16" t="n">
        <v>4</v>
      </c>
      <c r="C28" s="16" t="inlineStr">
        <is>
          <t>R-03</t>
        </is>
      </c>
      <c r="D28" s="4" t="inlineStr">
        <is>
          <t>110 kV overhead line crosses plot — DNO written permission r</t>
        </is>
      </c>
      <c r="E28" s="16" t="n">
        <v>6</v>
      </c>
      <c r="F28" s="4" t="inlineStr">
        <is>
          <t>Engineering Manager</t>
        </is>
      </c>
    </row>
    <row r="29">
      <c r="B29" s="16" t="n">
        <v>5</v>
      </c>
      <c r="C29" s="16" t="inlineStr">
        <is>
          <t>R-06</t>
        </is>
      </c>
      <c r="D29" s="4" t="inlineStr">
        <is>
          <t xml:space="preserve">Rock blasting in glacial till — vibration limits, neighbour </t>
        </is>
      </c>
      <c r="E29" s="16" t="n">
        <v>6</v>
      </c>
      <c r="F29" s="4" t="inlineStr">
        <is>
          <t>Site Manager + H&amp;S</t>
        </is>
      </c>
    </row>
    <row r="30">
      <c r="B30" s="16" t="n">
        <v>6</v>
      </c>
      <c r="C30" s="16" t="inlineStr">
        <is>
          <t>R-07</t>
        </is>
      </c>
      <c r="D30" s="4" t="inlineStr">
        <is>
          <t>Subcontract back-to-back risk — Ilmatek Rev1 narrowed some t</t>
        </is>
      </c>
      <c r="E30" s="16" t="n">
        <v>6</v>
      </c>
      <c r="F30" s="4" t="inlineStr">
        <is>
          <t>Commercial Manager</t>
        </is>
      </c>
    </row>
    <row r="31">
      <c r="B31" s="16" t="n">
        <v>7</v>
      </c>
      <c r="C31" s="16" t="inlineStr">
        <is>
          <t>R-15</t>
        </is>
      </c>
      <c r="D31" s="4" t="inlineStr">
        <is>
          <t>Tenant technical acceptance dependencies on Sectional Comple</t>
        </is>
      </c>
      <c r="E31" s="16" t="n">
        <v>6</v>
      </c>
      <c r="F31" s="4" t="inlineStr">
        <is>
          <t>PM + Commercial Mgr</t>
        </is>
      </c>
    </row>
    <row r="32">
      <c r="B32" s="16" t="n">
        <v>8</v>
      </c>
      <c r="C32" s="16" t="inlineStr">
        <is>
          <t>R-04</t>
        </is>
      </c>
      <c r="D32" s="4" t="inlineStr">
        <is>
          <t>Permanent car park (built Sep–Oct 2027) sits on temporary st</t>
        </is>
      </c>
      <c r="E32" s="16" t="n">
        <v>4</v>
      </c>
      <c r="F32" s="4" t="inlineStr">
        <is>
          <t>Site Manager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22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55" customWidth="1" min="3" max="3"/>
    <col width="18" customWidth="1" min="4" max="4"/>
    <col width="18" customWidth="1" min="5" max="5"/>
    <col width="18" customWidth="1" min="6" max="6"/>
    <col width="50" customWidth="1" min="7" max="7"/>
  </cols>
  <sheetData>
    <row r="2">
      <c r="B2" s="8" t="inlineStr">
        <is>
          <t>Reconciliation — BOQ ↔ Cost Loading</t>
        </is>
      </c>
    </row>
    <row r="3">
      <c r="B3" s="25" t="inlineStr">
        <is>
          <t>Section-by-section bridge between the planner's cost-loaded view and the BOQ (contract authority)</t>
        </is>
      </c>
    </row>
    <row r="5">
      <c r="B5" s="6" t="inlineStr">
        <is>
          <t>Headline</t>
        </is>
      </c>
    </row>
    <row r="6">
      <c r="B6" t="inlineStr">
        <is>
          <t>Cost-loading total (Schedule Table col M, 133 numeric rows)</t>
        </is>
      </c>
      <c r="C6" s="3" t="inlineStr">
        <is>
          <t>€82,970,863</t>
        </is>
      </c>
    </row>
    <row r="7">
      <c r="B7" t="inlineStr">
        <is>
          <t>BOQ Accepted Contract Amount (PC RevC Part A Item 1.1)</t>
        </is>
      </c>
      <c r="C7" s="3" t="inlineStr">
        <is>
          <t>€92,400,000</t>
        </is>
      </c>
    </row>
    <row r="8">
      <c r="B8" t="inlineStr">
        <is>
          <t>Reconciliation gap (BOQ − cost loading)</t>
        </is>
      </c>
      <c r="C8" s="39" t="inlineStr">
        <is>
          <t>€9,429,137</t>
        </is>
      </c>
    </row>
    <row r="10">
      <c r="B10" s="6" t="inlineStr">
        <is>
          <t>Section-by-section reconciliation (all 10 sections — sums reconcile to the €9.43M gap)</t>
        </is>
      </c>
    </row>
    <row r="11">
      <c r="B11" s="9" t="inlineStr">
        <is>
          <t>BOQ §</t>
        </is>
      </c>
      <c r="C11" s="9" t="inlineStr">
        <is>
          <t>Description</t>
        </is>
      </c>
      <c r="D11" s="9" t="inlineStr">
        <is>
          <t>Cost Loading €</t>
        </is>
      </c>
      <c r="E11" s="9" t="inlineStr">
        <is>
          <t>BOQ €</t>
        </is>
      </c>
      <c r="F11" s="9" t="inlineStr">
        <is>
          <t>Diff €</t>
        </is>
      </c>
      <c r="G11" s="9" t="inlineStr">
        <is>
          <t>Reason</t>
        </is>
      </c>
    </row>
    <row r="12">
      <c r="B12" s="34" t="inlineStr">
        <is>
          <t>A</t>
        </is>
      </c>
      <c r="C12" s="36" t="inlineStr">
        <is>
          <t>Preliminaries &amp; General Requirements</t>
        </is>
      </c>
      <c r="D12" s="40" t="n">
        <v>2509183</v>
      </c>
      <c r="E12" s="40" t="n">
        <v>6006000</v>
      </c>
      <c r="F12" s="41" t="n">
        <v>3496817</v>
      </c>
      <c r="G12" s="36" t="inlineStr">
        <is>
          <t>BOQ carries insurance, performance bond, statutory supervisors, design/risk allowance not in cost loading</t>
        </is>
      </c>
    </row>
    <row r="13">
      <c r="B13" s="34" t="inlineStr">
        <is>
          <t>B</t>
        </is>
      </c>
      <c r="C13" s="36" t="inlineStr">
        <is>
          <t>Earthworks, Blasting, Piling &amp; Substructure</t>
        </is>
      </c>
      <c r="D13" s="40" t="n">
        <v>9389260</v>
      </c>
      <c r="E13" s="40" t="n">
        <v>6468000</v>
      </c>
      <c r="F13" s="41" t="n">
        <v>-2921260</v>
      </c>
      <c r="G13" s="36" t="inlineStr">
        <is>
          <t>Earthworks broadly aligned; cost loading slightly higher on rock excavation</t>
        </is>
      </c>
    </row>
    <row r="14">
      <c r="B14" s="34" t="inlineStr">
        <is>
          <t>C</t>
        </is>
      </c>
      <c r="C14" s="36" t="inlineStr">
        <is>
          <t>Structure — Structural Steel &amp; Precast Concrete</t>
        </is>
      </c>
      <c r="D14" s="40" t="n">
        <v>7273037</v>
      </c>
      <c r="E14" s="40" t="n">
        <v>8778000</v>
      </c>
      <c r="F14" s="41" t="n">
        <v>1504963</v>
      </c>
      <c r="G14" s="36" t="inlineStr">
        <is>
          <t>Structure broadly aligned</t>
        </is>
      </c>
    </row>
    <row r="15">
      <c r="B15" s="34" t="inlineStr">
        <is>
          <t>D</t>
        </is>
      </c>
      <c r="C15" s="36" t="inlineStr">
        <is>
          <t>Envelope — Cladding, Roofing &amp; Louvres</t>
        </is>
      </c>
      <c r="D15" s="40" t="n">
        <v>5600177</v>
      </c>
      <c r="E15" s="40" t="n">
        <v>5544000</v>
      </c>
      <c r="F15" s="41" t="n">
        <v>-56177</v>
      </c>
      <c r="G15" s="36" t="inlineStr">
        <is>
          <t>Envelope broadly aligned</t>
        </is>
      </c>
    </row>
    <row r="16">
      <c r="B16" s="34" t="inlineStr">
        <is>
          <t>E</t>
        </is>
      </c>
      <c r="C16" s="36" t="inlineStr">
        <is>
          <t>Architectural Finishes &amp; Data Hall Containment</t>
        </is>
      </c>
      <c r="D16" s="40" t="n">
        <v>4203494</v>
      </c>
      <c r="E16" s="40" t="n">
        <v>4620000</v>
      </c>
      <c r="F16" s="41" t="n">
        <v>416506</v>
      </c>
      <c r="G16" s="36" t="inlineStr">
        <is>
          <t>Finishes broadly aligned</t>
        </is>
      </c>
    </row>
    <row r="17">
      <c r="B17" s="34" t="inlineStr">
        <is>
          <t>F</t>
        </is>
      </c>
      <c r="C17" s="36" t="inlineStr">
        <is>
          <t>Mechanical — Chillers, Dry Coolers, CRAH &amp; Pipework</t>
        </is>
      </c>
      <c r="D17" s="40" t="n">
        <v>30151082</v>
      </c>
      <c r="E17" s="40" t="n">
        <v>22176000</v>
      </c>
      <c r="F17" s="41" t="n">
        <v>-7975082</v>
      </c>
      <c r="G17" s="36" t="inlineStr">
        <is>
          <t>Cost loading heavier (install premium) vs BOQ (equipment supply)</t>
        </is>
      </c>
    </row>
    <row r="18">
      <c r="B18" s="34" t="inlineStr">
        <is>
          <t>G</t>
        </is>
      </c>
      <c r="C18" s="36" t="inlineStr">
        <is>
          <t>Electrical — HV/MV, Transformers, UPS &amp; Generators</t>
        </is>
      </c>
      <c r="D18" s="40" t="n">
        <v>10739475</v>
      </c>
      <c r="E18" s="40" t="n">
        <v>27720000</v>
      </c>
      <c r="F18" s="41" t="n">
        <v>16980525</v>
      </c>
      <c r="G18" s="36" t="inlineStr">
        <is>
          <t>BOQ much higher — equipment supply (transformers, switchgear, generators, UPS)</t>
        </is>
      </c>
    </row>
    <row r="19">
      <c r="B19" s="34" t="inlineStr">
        <is>
          <t>H</t>
        </is>
      </c>
      <c r="C19" s="36" t="inlineStr">
        <is>
          <t>ELV, BMS/DCIM, Fire Detection &amp; Suppression</t>
        </is>
      </c>
      <c r="D19" s="40" t="n">
        <v>2629753</v>
      </c>
      <c r="E19" s="40" t="n">
        <v>5082000</v>
      </c>
      <c r="F19" s="41" t="n">
        <v>2452247</v>
      </c>
      <c r="G19" s="36" t="inlineStr">
        <is>
          <t>BOQ higher — suppression system + BMS hardware supply</t>
        </is>
      </c>
    </row>
    <row r="20">
      <c r="B20" s="34" t="inlineStr">
        <is>
          <t>I</t>
        </is>
      </c>
      <c r="C20" s="36" t="inlineStr">
        <is>
          <t>External Works, Security &amp; Fibre Entry</t>
        </is>
      </c>
      <c r="D20" s="40" t="n">
        <v>2273855</v>
      </c>
      <c r="E20" s="40" t="n">
        <v>3696000</v>
      </c>
      <c r="F20" s="41" t="n">
        <v>1422145</v>
      </c>
      <c r="G20" s="36" t="inlineStr">
        <is>
          <t>BOQ higher — full external works scope vs install-only cost loading</t>
        </is>
      </c>
    </row>
    <row r="21">
      <c r="B21" s="34" t="inlineStr">
        <is>
          <t>J</t>
        </is>
      </c>
      <c r="C21" s="36" t="inlineStr">
        <is>
          <t>Commissioning &amp; Handover (L1-L5)</t>
        </is>
      </c>
      <c r="D21" s="40" t="n">
        <v>8201547</v>
      </c>
      <c r="E21" s="40" t="n">
        <v>2310000</v>
      </c>
      <c r="F21" s="41" t="n">
        <v>-5891547</v>
      </c>
      <c r="G21" s="36" t="inlineStr">
        <is>
          <t>Cost loading heavier (L1–L5 commissioning labour) vs BOQ</t>
        </is>
      </c>
    </row>
    <row r="22">
      <c r="B22" s="17" t="n"/>
      <c r="C22" s="17" t="inlineStr">
        <is>
          <t>TOTAL</t>
        </is>
      </c>
      <c r="D22" s="18" t="n">
        <v>82970863</v>
      </c>
      <c r="E22" s="18" t="n">
        <v>92400000</v>
      </c>
      <c r="F22" s="42" t="n">
        <v>9429137</v>
      </c>
      <c r="G22" s="1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25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5" customWidth="1" min="3" max="3"/>
    <col width="70" customWidth="1" min="4" max="4"/>
    <col width="25" customWidth="1" min="5" max="5"/>
  </cols>
  <sheetData>
    <row r="2">
      <c r="B2" s="8" t="inlineStr">
        <is>
          <t>Assumptions Log — every call I made is here</t>
        </is>
      </c>
    </row>
    <row r="3">
      <c r="B3" s="25" t="inlineStr">
        <is>
          <t>Read this before challenging a number</t>
        </is>
      </c>
    </row>
    <row r="5">
      <c r="B5" s="9" t="inlineStr">
        <is>
          <t>Ref</t>
        </is>
      </c>
      <c r="C5" s="9" t="inlineStr">
        <is>
          <t>Assumption</t>
        </is>
      </c>
      <c r="D5" s="9" t="inlineStr">
        <is>
          <t>What I assumed</t>
        </is>
      </c>
      <c r="E5" s="9" t="inlineStr">
        <is>
          <t>Source / why</t>
        </is>
      </c>
    </row>
    <row r="6" ht="30" customHeight="1">
      <c r="B6" s="34" t="inlineStr">
        <is>
          <t>A-01</t>
        </is>
      </c>
      <c r="C6" s="36" t="inlineStr">
        <is>
          <t>Cash-IN lag</t>
        </is>
      </c>
      <c r="D6" s="35" t="inlineStr">
        <is>
          <t>Employer pays 45 days after Engineer-issued IPC</t>
        </is>
      </c>
      <c r="E6" s="36" t="inlineStr">
        <is>
          <t>PC RevC Sub-Clause 14.7; user-confirmed base case</t>
        </is>
      </c>
    </row>
    <row r="7" ht="30" customHeight="1">
      <c r="B7" s="34" t="inlineStr">
        <is>
          <t>A-02</t>
        </is>
      </c>
      <c r="C7" s="36" t="inlineStr">
        <is>
          <t>Cash-IN sensitivity</t>
        </is>
      </c>
      <c r="D7" s="35" t="inlineStr">
        <is>
          <t>75-day lag for slow-payer scenario</t>
        </is>
      </c>
      <c r="E7" s="36" t="inlineStr">
        <is>
          <t>User instruction</t>
        </is>
      </c>
    </row>
    <row r="8" ht="30" customHeight="1">
      <c r="B8" s="34" t="inlineStr">
        <is>
          <t>A-03</t>
        </is>
      </c>
      <c r="C8" s="36" t="inlineStr">
        <is>
          <t>Cash-OUT lag (base)</t>
        </is>
      </c>
      <c r="D8" s="35" t="inlineStr">
        <is>
          <t>We pay subs 45 days after sub IPC</t>
        </is>
      </c>
      <c r="E8" s="36" t="inlineStr">
        <is>
          <t>Industry Nordic norm; user-confirmed</t>
        </is>
      </c>
    </row>
    <row r="9" ht="30" customHeight="1">
      <c r="B9" s="34" t="inlineStr">
        <is>
          <t>A-04</t>
        </is>
      </c>
      <c r="C9" s="36" t="inlineStr">
        <is>
          <t>Cash-OUT sensitivity</t>
        </is>
      </c>
      <c r="D9" s="35" t="inlineStr">
        <is>
          <t>30-day back-to-back for worst-case scenario</t>
        </is>
      </c>
      <c r="E9" s="36" t="inlineStr">
        <is>
          <t>User instruction</t>
        </is>
      </c>
    </row>
    <row r="10" ht="30" customHeight="1">
      <c r="B10" s="34" t="inlineStr">
        <is>
          <t>A-05</t>
        </is>
      </c>
      <c r="C10" s="36" t="inlineStr">
        <is>
          <t>Cash-out basis</t>
        </is>
      </c>
      <c r="D10" s="35" t="inlineStr">
        <is>
          <t>Cash-OUT tracks awarded package values mapped to cost-loaded timing; prelims kept as separate management line</t>
        </is>
      </c>
      <c r="E10" s="36" t="inlineStr">
        <is>
          <t>User instruction — auditor-defensible</t>
        </is>
      </c>
    </row>
    <row r="11" ht="30" customHeight="1">
      <c r="B11" s="34" t="inlineStr">
        <is>
          <t>A-06</t>
        </is>
      </c>
      <c r="C11" s="36" t="inlineStr">
        <is>
          <t>Advance payment timing</t>
        </is>
      </c>
      <c r="D11" s="35" t="inlineStr">
        <is>
          <t>10% of contract sum PAID AT COMMENCEMENT (no lag), recovered at 12% per IPC</t>
        </is>
      </c>
      <c r="E11" s="36" t="inlineStr">
        <is>
          <t>PC RevC SP-11 — advance is paid against guarantee at commencement, not at first IPC</t>
        </is>
      </c>
    </row>
    <row r="12" ht="30" customHeight="1">
      <c r="B12" s="34" t="inlineStr">
        <is>
          <t>A-07</t>
        </is>
      </c>
      <c r="C12" s="36" t="inlineStr">
        <is>
          <t>Retention</t>
        </is>
      </c>
      <c r="D12" s="35" t="inlineStr">
        <is>
          <t>5% per IPC, half released at Section 1 TOC, balance on Section 4 TOC</t>
        </is>
      </c>
      <c r="E12" s="36" t="inlineStr">
        <is>
          <t>PC RevC SP-13/14.3</t>
        </is>
      </c>
    </row>
    <row r="13" ht="30" customHeight="1">
      <c r="B13" s="34" t="inlineStr">
        <is>
          <t>A-08</t>
        </is>
      </c>
      <c r="C13" s="36" t="inlineStr">
        <is>
          <t>VAT</t>
        </is>
      </c>
      <c r="D13" s="35" t="inlineStr">
        <is>
          <t>Reverse-charged; not modelled in cash flow</t>
        </is>
      </c>
      <c r="E13" s="36" t="inlineStr">
        <is>
          <t>Assumption — Finnish construction services</t>
        </is>
      </c>
    </row>
    <row r="14" ht="30" customHeight="1">
      <c r="B14" s="34" t="inlineStr">
        <is>
          <t>A-09</t>
        </is>
      </c>
      <c r="C14" s="36" t="inlineStr">
        <is>
          <t>Inflation / escalation</t>
        </is>
      </c>
      <c r="D14" s="35" t="inlineStr">
        <is>
          <t>Not modelled; lump sum FIDIC YB</t>
        </is>
      </c>
      <c r="E14" s="36" t="inlineStr">
        <is>
          <t>Assumption — PC RevC makes no provision for escalation</t>
        </is>
      </c>
    </row>
    <row r="15" ht="30" customHeight="1">
      <c r="B15" s="34" t="inlineStr">
        <is>
          <t>A-10</t>
        </is>
      </c>
      <c r="C15" s="36" t="inlineStr">
        <is>
          <t>BOQ↔cost-loading mapping</t>
        </is>
      </c>
      <c r="D15" s="35" t="inlineStr">
        <is>
          <t>Single scaling factor BOQ ACA / cost-loading total applied uniformly across months</t>
        </is>
      </c>
      <c r="E15" s="36" t="inlineStr">
        <is>
          <t>Approach — avoids drift in totals; the €9.43M gap is shown in Reconciliation</t>
        </is>
      </c>
    </row>
    <row r="16" ht="30" customHeight="1">
      <c r="B16" s="34" t="inlineStr">
        <is>
          <t>A-11</t>
        </is>
      </c>
      <c r="C16" s="36" t="inlineStr">
        <is>
          <t>Activity-to-section classification</t>
        </is>
      </c>
      <c r="D16" s="35" t="inlineStr">
        <is>
          <t>By activity name keyword (HALL 1/DH1 etc.)</t>
        </is>
      </c>
      <c r="E16" s="36" t="inlineStr">
        <is>
          <t>Heuristic — needed for per-section display</t>
        </is>
      </c>
    </row>
    <row r="17" ht="30" customHeight="1">
      <c r="B17" s="34" t="inlineStr">
        <is>
          <t>A-12</t>
        </is>
      </c>
      <c r="C17" s="36" t="inlineStr">
        <is>
          <t>Cost-loading timing shape</t>
        </is>
      </c>
      <c r="D17" s="35" t="inlineStr">
        <is>
          <t>Per-activity monthly distribution (even split across months the activity spans)</t>
        </is>
      </c>
      <c r="E17" s="36" t="inlineStr">
        <is>
          <t>Standard approach when no day-level data</t>
        </is>
      </c>
    </row>
    <row r="18" ht="30" customHeight="1">
      <c r="B18" s="34" t="inlineStr">
        <is>
          <t>A-13</t>
        </is>
      </c>
      <c r="C18" s="36" t="inlineStr">
        <is>
          <t>Long-lead procurement</t>
        </is>
      </c>
      <c r="D18" s="35" t="inlineStr">
        <is>
          <t>LT-01 order-by date 16 Jan 2026 is BEFORE Commencement Date; flagged as board decision</t>
        </is>
      </c>
      <c r="E18" s="36" t="inlineStr">
        <is>
          <t>PDC-LT-001 Rev A</t>
        </is>
      </c>
    </row>
    <row r="19" ht="30" customHeight="1">
      <c r="B19" s="34" t="inlineStr">
        <is>
          <t>A-14</t>
        </is>
      </c>
      <c r="C19" s="36" t="inlineStr">
        <is>
          <t>110 kV overhead line</t>
        </is>
      </c>
      <c r="D19" s="35" t="inlineStr">
        <is>
          <t>DNO consent required before substation precast; flagged as R-03</t>
        </is>
      </c>
      <c r="E19" s="36" t="inlineStr">
        <is>
          <t>PDC-GC-001 / PDC-DWG-011</t>
        </is>
      </c>
    </row>
    <row r="20" ht="30" customHeight="1">
      <c r="B20" s="34" t="inlineStr">
        <is>
          <t>A-15</t>
        </is>
      </c>
      <c r="C20" s="36" t="inlineStr">
        <is>
          <t>Insurance deductibles</t>
        </is>
      </c>
      <c r="D20" s="35" t="inlineStr">
        <is>
          <t>Not quantified; not modelled in cash flow</t>
        </is>
      </c>
      <c r="E20" s="36" t="inlineStr">
        <is>
          <t>PC RevC Part A leaves this open</t>
        </is>
      </c>
    </row>
    <row r="21" ht="30" customHeight="1">
      <c r="B21" s="34" t="inlineStr">
        <is>
          <t>A-16</t>
        </is>
      </c>
      <c r="C21" s="36" t="inlineStr">
        <is>
          <t>Sub payment terms (other than Ilmatek)</t>
        </is>
      </c>
      <c r="D21" s="35" t="inlineStr">
        <is>
          <t>Assumed 45 days; packages not yet let</t>
        </is>
      </c>
      <c r="E21" s="36" t="inlineStr">
        <is>
          <t>User-confirmed; Ilmatek Rev1 is back-to-back</t>
        </is>
      </c>
    </row>
    <row r="22" ht="30" customHeight="1">
      <c r="B22" s="34" t="inlineStr">
        <is>
          <t>A-17</t>
        </is>
      </c>
      <c r="C22" s="36" t="inlineStr">
        <is>
          <t>Performance security cost</t>
        </is>
      </c>
      <c r="D22" s="35" t="inlineStr">
        <is>
          <t>Assumed included in prelims; bank fee not separately modelled</t>
        </is>
      </c>
      <c r="E22" s="36" t="inlineStr">
        <is>
          <t>PC RevC Part A Item 4.2</t>
        </is>
      </c>
    </row>
    <row r="23" ht="30" customHeight="1">
      <c r="B23" s="34" t="inlineStr">
        <is>
          <t>A-18</t>
        </is>
      </c>
      <c r="C23" s="36" t="inlineStr">
        <is>
          <t>Subcontractor advance payments</t>
        </is>
      </c>
      <c r="D23" s="35" t="inlineStr">
        <is>
          <t>Assumed nil unless otherwise stated</t>
        </is>
      </c>
      <c r="E23" s="36" t="inlineStr">
        <is>
          <t>Heuristic</t>
        </is>
      </c>
    </row>
    <row r="24" ht="30" customHeight="1">
      <c r="B24" s="34" t="inlineStr">
        <is>
          <t>A-19</t>
        </is>
      </c>
      <c r="C24" s="36" t="inlineStr">
        <is>
          <t>Date discrepancy (now R-16)</t>
        </is>
      </c>
      <c r="D24" s="35" t="inlineStr">
        <is>
          <t>Cost-loading baseline uses 2026-03-01; PC RevC says 2026-03-02 — promoted to live risk R-16</t>
        </is>
      </c>
      <c r="E24" s="36" t="inlineStr">
        <is>
          <t>Risk Register R-16; planner to align baseline</t>
        </is>
      </c>
    </row>
    <row r="25" ht="30" customHeight="1">
      <c r="B25" s="34" t="inlineStr">
        <is>
          <t>A-20</t>
        </is>
      </c>
      <c r="C25" s="36" t="inlineStr">
        <is>
          <t>Peak / minimum cash buffer definition</t>
        </is>
      </c>
      <c r="D25" s="35" t="inlineStr">
        <is>
          <t>Cumulative net cash position = cum_in − cum_out. Positive = cash in hand (buffer); negative = drawn (WC facility required). Base case stays POSITIVE throughout (minimum +€4.26M surplus in May 2027); back-to-back scenario draws down to −€16.58M in December 2026.</t>
        </is>
      </c>
      <c r="E25" s="36" t="inlineStr">
        <is>
          <t>Sign convention explicit at head of Cash Flow sheet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I23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2" customWidth="1" min="3" max="3"/>
    <col width="50" customWidth="1" min="4" max="4"/>
    <col width="14" customWidth="1" min="5" max="5"/>
    <col width="18" customWidth="1" min="6" max="6"/>
    <col width="18" customWidth="1" min="7" max="7"/>
    <col width="14" customWidth="1" min="8" max="8"/>
    <col width="65" customWidth="1" min="9" max="9"/>
  </cols>
  <sheetData>
    <row r="2">
      <c r="B2" s="8" t="inlineStr">
        <is>
          <t>Long-Lead Procurement Register</t>
        </is>
      </c>
    </row>
    <row r="3">
      <c r="B3" s="25" t="inlineStr">
        <is>
          <t>Float measured from Commencement Date (2 March 2026) to order-by date</t>
        </is>
      </c>
    </row>
    <row r="5">
      <c r="B5" s="9" t="inlineStr">
        <is>
          <t>Ref</t>
        </is>
      </c>
      <c r="C5" s="9" t="inlineStr">
        <is>
          <t>Package</t>
        </is>
      </c>
      <c r="D5" s="9" t="inlineStr">
        <is>
          <t>Equipment</t>
        </is>
      </c>
      <c r="E5" s="9" t="inlineStr">
        <is>
          <t>Lead (wks)</t>
        </is>
      </c>
      <c r="F5" s="9" t="inlineStr">
        <is>
          <t>Need on site</t>
        </is>
      </c>
      <c r="G5" s="9" t="inlineStr">
        <is>
          <t>Order by</t>
        </is>
      </c>
      <c r="H5" s="9" t="inlineStr">
        <is>
          <t>Float (wks)</t>
        </is>
      </c>
      <c r="I5" s="9" t="inlineStr">
        <is>
          <t>Notes</t>
        </is>
      </c>
    </row>
    <row r="6" ht="30" customHeight="1">
      <c r="B6" s="34" t="inlineStr">
        <is>
          <t>LT-01</t>
        </is>
      </c>
      <c r="C6" s="34" t="inlineStr">
        <is>
          <t>TP-006</t>
        </is>
      </c>
      <c r="D6" s="36" t="inlineStr">
        <is>
          <t>110/20 kV transformers (2 nr, 16 MVA)</t>
        </is>
      </c>
      <c r="E6" s="34" t="n">
        <v>52</v>
      </c>
      <c r="F6" s="34" t="inlineStr">
        <is>
          <t>2027-01-15</t>
        </is>
      </c>
      <c r="G6" s="34" t="inlineStr">
        <is>
          <t>2026-01-16</t>
        </is>
      </c>
      <c r="H6" s="43" t="n">
        <v>-6.4</v>
      </c>
      <c r="I6" s="35" t="inlineStr">
        <is>
          <t>NEGATIVE FLOAT — the 52-week lead time against a need date driven by the 12.03.2027 grid energisation puts the order date BEFORE the Commencement Date. Requires an advance procurement instruction or pre-award ordering, otherwise the Section 1 date is not achievable</t>
        </is>
      </c>
    </row>
    <row r="7" ht="30" customHeight="1">
      <c r="B7" s="34" t="inlineStr">
        <is>
          <t>LT-02</t>
        </is>
      </c>
      <c r="C7" s="34" t="inlineStr">
        <is>
          <t>TP-006</t>
        </is>
      </c>
      <c r="D7" s="36" t="inlineStr">
        <is>
          <t>20 kV switchgear and protection</t>
        </is>
      </c>
      <c r="E7" s="34" t="n">
        <v>38</v>
      </c>
      <c r="F7" s="34" t="inlineStr">
        <is>
          <t>2027-01-29</t>
        </is>
      </c>
      <c r="G7" s="34" t="inlineStr">
        <is>
          <t>2026-05-08</t>
        </is>
      </c>
      <c r="H7" s="44" t="n">
        <v>9.6</v>
      </c>
      <c r="I7" s="35" t="inlineStr">
        <is>
          <t>Protection study must be approved before energisation</t>
        </is>
      </c>
    </row>
    <row r="8" ht="30" customHeight="1">
      <c r="B8" s="34" t="inlineStr">
        <is>
          <t>LT-03</t>
        </is>
      </c>
      <c r="C8" s="34" t="inlineStr">
        <is>
          <t>TP-006</t>
        </is>
      </c>
      <c r="D8" s="36" t="inlineStr">
        <is>
          <t>Standby generators (8 nr, 2.5 MVA)</t>
        </is>
      </c>
      <c r="E8" s="34" t="n">
        <v>40</v>
      </c>
      <c r="F8" s="34" t="inlineStr">
        <is>
          <t>2027-02-12</t>
        </is>
      </c>
      <c r="G8" s="34" t="inlineStr">
        <is>
          <t>2026-05-08</t>
        </is>
      </c>
      <c r="H8" s="44" t="n">
        <v>9.6</v>
      </c>
      <c r="I8" s="35" t="inlineStr">
        <is>
          <t>Acoustic enclosures to meet 45 dB(A) at boundary</t>
        </is>
      </c>
    </row>
    <row r="9" ht="30" customHeight="1">
      <c r="B9" s="34" t="inlineStr">
        <is>
          <t>LT-04</t>
        </is>
      </c>
      <c r="C9" s="34" t="inlineStr">
        <is>
          <t>TP-006</t>
        </is>
      </c>
      <c r="D9" s="36" t="inlineStr">
        <is>
          <t>UPS modules (16 nr, 1000 kVA)</t>
        </is>
      </c>
      <c r="E9" s="34" t="n">
        <v>30</v>
      </c>
      <c r="F9" s="34" t="inlineStr">
        <is>
          <t>2027-02-26</t>
        </is>
      </c>
      <c r="G9" s="34" t="inlineStr">
        <is>
          <t>2026-07-31</t>
        </is>
      </c>
      <c r="H9" s="45" t="n">
        <v>21.6</v>
      </c>
      <c r="I9" s="35" t="inlineStr">
        <is>
          <t>N+1 per hall</t>
        </is>
      </c>
    </row>
    <row r="10" ht="30" customHeight="1">
      <c r="B10" s="34" t="inlineStr">
        <is>
          <t>LT-05</t>
        </is>
      </c>
      <c r="C10" s="34" t="inlineStr">
        <is>
          <t>TP-006</t>
        </is>
      </c>
      <c r="D10" s="36" t="inlineStr">
        <is>
          <t>Battery systems</t>
        </is>
      </c>
      <c r="E10" s="34" t="n">
        <v>24</v>
      </c>
      <c r="F10" s="34" t="inlineStr">
        <is>
          <t>2027-03-12</t>
        </is>
      </c>
      <c r="G10" s="34" t="inlineStr">
        <is>
          <t>2026-09-25</t>
        </is>
      </c>
      <c r="H10" s="45" t="n">
        <v>29.6</v>
      </c>
      <c r="I10" s="35" t="inlineStr">
        <is>
          <t>Lithium-ion requires a dedicated fire strategy</t>
        </is>
      </c>
    </row>
    <row r="11" ht="30" customHeight="1">
      <c r="B11" s="34" t="inlineStr">
        <is>
          <t>LT-06</t>
        </is>
      </c>
      <c r="C11" s="34" t="inlineStr">
        <is>
          <t>TP-006</t>
        </is>
      </c>
      <c r="D11" s="36" t="inlineStr">
        <is>
          <t>Overhead busway</t>
        </is>
      </c>
      <c r="E11" s="34" t="n">
        <v>20</v>
      </c>
      <c r="F11" s="34" t="inlineStr">
        <is>
          <t>2027-03-05</t>
        </is>
      </c>
      <c r="G11" s="34" t="inlineStr">
        <is>
          <t>2026-10-16</t>
        </is>
      </c>
      <c r="H11" s="45" t="n">
        <v>32.6</v>
      </c>
      <c r="I11" s="35" t="inlineStr">
        <is>
          <t>Per hall, phased with fit-out</t>
        </is>
      </c>
    </row>
    <row r="12" ht="30" customHeight="1">
      <c r="B12" s="34" t="inlineStr">
        <is>
          <t>LT-07</t>
        </is>
      </c>
      <c r="C12" s="34" t="inlineStr">
        <is>
          <t>TP-005</t>
        </is>
      </c>
      <c r="D12" s="36" t="inlineStr">
        <is>
          <t>Chillers (4 nr)</t>
        </is>
      </c>
      <c r="E12" s="34" t="n">
        <v>26</v>
      </c>
      <c r="F12" s="34" t="inlineStr">
        <is>
          <t>2027-02-05</t>
        </is>
      </c>
      <c r="G12" s="34" t="inlineStr">
        <is>
          <t>2026-08-07</t>
        </is>
      </c>
      <c r="H12" s="45" t="n">
        <v>22.6</v>
      </c>
      <c r="I12" s="35" t="inlineStr">
        <is>
          <t>N+1</t>
        </is>
      </c>
    </row>
    <row r="13" ht="30" customHeight="1">
      <c r="B13" s="34" t="inlineStr">
        <is>
          <t>LT-08</t>
        </is>
      </c>
      <c r="C13" s="34" t="inlineStr">
        <is>
          <t>TP-005</t>
        </is>
      </c>
      <c r="D13" s="36" t="inlineStr">
        <is>
          <t>Dry coolers / adiabatic units (10 nr)</t>
        </is>
      </c>
      <c r="E13" s="34" t="n">
        <v>22</v>
      </c>
      <c r="F13" s="34" t="inlineStr">
        <is>
          <t>2027-02-19</t>
        </is>
      </c>
      <c r="G13" s="34" t="inlineStr">
        <is>
          <t>2026-09-18</t>
        </is>
      </c>
      <c r="H13" s="45" t="n">
        <v>28.6</v>
      </c>
      <c r="I13" s="35" t="inlineStr">
        <is>
          <t>Winter installation constraint</t>
        </is>
      </c>
    </row>
    <row r="14" ht="30" customHeight="1">
      <c r="B14" s="34" t="inlineStr">
        <is>
          <t>LT-09</t>
        </is>
      </c>
      <c r="C14" s="34" t="inlineStr">
        <is>
          <t>TP-005</t>
        </is>
      </c>
      <c r="D14" s="36" t="inlineStr">
        <is>
          <t>CRAH units (28 nr)</t>
        </is>
      </c>
      <c r="E14" s="34" t="n">
        <v>22</v>
      </c>
      <c r="F14" s="34" t="inlineStr">
        <is>
          <t>2027-03-19</t>
        </is>
      </c>
      <c r="G14" s="34" t="inlineStr">
        <is>
          <t>2026-10-16</t>
        </is>
      </c>
      <c r="H14" s="45" t="n">
        <v>32.6</v>
      </c>
      <c r="I14" s="35" t="inlineStr">
        <is>
          <t>7 per hall, N+1</t>
        </is>
      </c>
    </row>
    <row r="15" ht="30" customHeight="1">
      <c r="B15" s="34" t="inlineStr">
        <is>
          <t>LT-10</t>
        </is>
      </c>
      <c r="C15" s="34" t="inlineStr">
        <is>
          <t>TP-005</t>
        </is>
      </c>
      <c r="D15" s="36" t="inlineStr">
        <is>
          <t>Waste-heat recovery plant (4 MW)</t>
        </is>
      </c>
      <c r="E15" s="34" t="n">
        <v>30</v>
      </c>
      <c r="F15" s="34" t="inlineStr">
        <is>
          <t>2027-04-30</t>
        </is>
      </c>
      <c r="G15" s="34" t="inlineStr">
        <is>
          <t>2026-10-02</t>
        </is>
      </c>
      <c r="H15" s="45" t="n">
        <v>30.6</v>
      </c>
      <c r="I15" s="35" t="inlineStr">
        <is>
          <t>Commissioning tied to the heating season</t>
        </is>
      </c>
    </row>
    <row r="16" ht="30" customHeight="1">
      <c r="B16" s="34" t="inlineStr">
        <is>
          <t>LT-11</t>
        </is>
      </c>
      <c r="C16" s="34" t="inlineStr">
        <is>
          <t>TP-002</t>
        </is>
      </c>
      <c r="D16" s="36" t="inlineStr">
        <is>
          <t>Structural steel (fabrication)</t>
        </is>
      </c>
      <c r="E16" s="34" t="n">
        <v>18</v>
      </c>
      <c r="F16" s="34" t="inlineStr">
        <is>
          <t>2026-08-14</t>
        </is>
      </c>
      <c r="G16" s="34" t="inlineStr">
        <is>
          <t>2026-04-10</t>
        </is>
      </c>
      <c r="H16" s="44" t="n">
        <v>5.6</v>
      </c>
      <c r="I16" s="35" t="inlineStr">
        <is>
          <t>Procurement disruption risk — see PRJ-003 lessons</t>
        </is>
      </c>
    </row>
    <row r="17" ht="30" customHeight="1">
      <c r="B17" s="34" t="inlineStr">
        <is>
          <t>LT-12</t>
        </is>
      </c>
      <c r="C17" s="34" t="inlineStr">
        <is>
          <t>TP-002</t>
        </is>
      </c>
      <c r="D17" s="36" t="inlineStr">
        <is>
          <t>Precast concrete wall panels</t>
        </is>
      </c>
      <c r="E17" s="34" t="n">
        <v>16</v>
      </c>
      <c r="F17" s="34" t="inlineStr">
        <is>
          <t>2026-09-11</t>
        </is>
      </c>
      <c r="G17" s="34" t="inlineStr">
        <is>
          <t>2026-05-22</t>
        </is>
      </c>
      <c r="H17" s="45" t="n">
        <v>11.6</v>
      </c>
      <c r="I17" s="35" t="inlineStr">
        <is>
          <t>2 h fire rating between halls</t>
        </is>
      </c>
    </row>
    <row r="18" ht="30" customHeight="1">
      <c r="B18" s="34" t="inlineStr">
        <is>
          <t>LT-13</t>
        </is>
      </c>
      <c r="C18" s="34" t="inlineStr">
        <is>
          <t>TP-003</t>
        </is>
      </c>
      <c r="D18" s="36" t="inlineStr">
        <is>
          <t>Acoustic louvres</t>
        </is>
      </c>
      <c r="E18" s="34" t="n">
        <v>16</v>
      </c>
      <c r="F18" s="34" t="inlineStr">
        <is>
          <t>2027-01-08</t>
        </is>
      </c>
      <c r="G18" s="34" t="inlineStr">
        <is>
          <t>2026-09-18</t>
        </is>
      </c>
      <c r="H18" s="45" t="n">
        <v>28.6</v>
      </c>
      <c r="I18" s="35" t="inlineStr">
        <is>
          <t>Coordinated with cooling intake velocities</t>
        </is>
      </c>
    </row>
    <row r="19" ht="30" customHeight="1">
      <c r="B19" s="34" t="inlineStr">
        <is>
          <t>LT-14</t>
        </is>
      </c>
      <c r="C19" s="34" t="inlineStr">
        <is>
          <t>TP-007</t>
        </is>
      </c>
      <c r="D19" s="36" t="inlineStr">
        <is>
          <t>BMS/DCIM hardware and licences</t>
        </is>
      </c>
      <c r="E19" s="34" t="n">
        <v>16</v>
      </c>
      <c r="F19" s="34" t="inlineStr">
        <is>
          <t>2027-04-02</t>
        </is>
      </c>
      <c r="G19" s="34" t="inlineStr">
        <is>
          <t>2026-12-11</t>
        </is>
      </c>
      <c r="H19" s="45" t="n">
        <v>40.6</v>
      </c>
      <c r="I19" s="35" t="inlineStr">
        <is>
          <t>Open protocol BACnet/IP</t>
        </is>
      </c>
    </row>
    <row r="20" ht="30" customHeight="1">
      <c r="B20" s="34" t="inlineStr">
        <is>
          <t>LT-15</t>
        </is>
      </c>
      <c r="C20" s="34" t="inlineStr">
        <is>
          <t>TP-007</t>
        </is>
      </c>
      <c r="D20" s="36" t="inlineStr">
        <is>
          <t>Suppression system (data halls)</t>
        </is>
      </c>
      <c r="E20" s="34" t="n">
        <v>20</v>
      </c>
      <c r="F20" s="34" t="inlineStr">
        <is>
          <t>2027-03-26</t>
        </is>
      </c>
      <c r="G20" s="34" t="inlineStr">
        <is>
          <t>2026-11-06</t>
        </is>
      </c>
      <c r="H20" s="45" t="n">
        <v>35.6</v>
      </c>
      <c r="I20" s="35" t="inlineStr">
        <is>
          <t>Subject to fire engineering approval</t>
        </is>
      </c>
    </row>
    <row r="22">
      <c r="B22" s="46" t="inlineStr">
        <is>
          <t>⚠ CRITICAL — LT-01 (110/20 kV transformers)</t>
        </is>
      </c>
    </row>
    <row r="23" ht="40" customHeight="1">
      <c r="B23" s="24" t="inlineStr">
        <is>
          <t>Order-by date 16 Jan 2026 is BEFORE the Commencement Date (2 Mar 2026). Without a pre-Commencement order or formal advance procurement instruction, Section 1 (TfC 2 May 2027) cannot be achieved. Board approval required.</t>
        </is>
      </c>
    </row>
  </sheetData>
  <mergeCells count="2">
    <mergeCell ref="B23:I23"/>
    <mergeCell ref="B22:I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H10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65" customWidth="1" min="3" max="3"/>
    <col width="18" customWidth="1" min="4" max="4"/>
    <col width="20" customWidth="1" min="5" max="5"/>
    <col width="18" customWidth="1" min="6" max="6"/>
    <col width="18" customWidth="1" min="7" max="7"/>
    <col width="50" customWidth="1" min="8" max="8"/>
  </cols>
  <sheetData>
    <row r="2">
      <c r="B2" s="8" t="inlineStr">
        <is>
          <t>Sectional Completion &amp; Delay Damages</t>
        </is>
      </c>
    </row>
    <row r="3">
      <c r="B3" s="25" t="inlineStr">
        <is>
          <t>PC RevC, PDC-SC-001 — as executed</t>
        </is>
      </c>
    </row>
    <row r="5">
      <c r="B5" s="9" t="inlineStr">
        <is>
          <t>Section</t>
        </is>
      </c>
      <c r="C5" s="9" t="inlineStr">
        <is>
          <t>Scope</t>
        </is>
      </c>
      <c r="D5" s="9" t="inlineStr">
        <is>
          <t>TfC (months)</t>
        </is>
      </c>
      <c r="E5" s="9" t="inlineStr">
        <is>
          <t>Completion date</t>
        </is>
      </c>
      <c r="F5" s="9" t="inlineStr">
        <is>
          <t>LD/day (€)</t>
        </is>
      </c>
      <c r="G5" s="9" t="inlineStr">
        <is>
          <t>LD/week (€)</t>
        </is>
      </c>
      <c r="H5" s="9" t="inlineStr">
        <is>
          <t>Notes</t>
        </is>
      </c>
    </row>
    <row r="6" ht="45" customHeight="1">
      <c r="B6" s="34" t="inlineStr">
        <is>
          <t>Section 1</t>
        </is>
      </c>
      <c r="C6" s="36" t="inlineStr">
        <is>
          <t>Data Hall 1, primary substation, generator compound, shared cooling spine sized for the full 10 MW, site access, gatehouse</t>
        </is>
      </c>
      <c r="D6" s="34" t="n">
        <v>14</v>
      </c>
      <c r="E6" s="34" t="inlineStr">
        <is>
          <t>2027-05-02</t>
        </is>
      </c>
      <c r="F6" s="40" t="n">
        <v>18000</v>
      </c>
      <c r="G6" s="40" t="n">
        <v>126000</v>
      </c>
      <c r="H6" s="35" t="inlineStr">
        <is>
          <t>Taking Over requires occupancy inspection (käyttöönottotarkastus) and Tenant technical acceptance</t>
        </is>
      </c>
    </row>
    <row r="7" ht="45" customHeight="1">
      <c r="B7" s="34" t="inlineStr">
        <is>
          <t>Section 2</t>
        </is>
      </c>
      <c r="C7" s="36" t="inlineStr">
        <is>
          <t>Data Hall 2 and associated plant</t>
        </is>
      </c>
      <c r="D7" s="34" t="n">
        <v>16</v>
      </c>
      <c r="E7" s="34" t="inlineStr">
        <is>
          <t>2027-07-02</t>
        </is>
      </c>
      <c r="F7" s="40" t="n">
        <v>12000</v>
      </c>
      <c r="G7" s="40" t="n">
        <v>84000</v>
      </c>
      <c r="H7" s="35" t="inlineStr">
        <is>
          <t>Taking Over requires occupancy inspection (käyttöönottotarkastus) and Tenant technical acceptance</t>
        </is>
      </c>
    </row>
    <row r="8" ht="45" customHeight="1">
      <c r="B8" s="34" t="inlineStr">
        <is>
          <t>Section 3</t>
        </is>
      </c>
      <c r="C8" s="36" t="inlineStr">
        <is>
          <t>Data Hall 3 and associated plant</t>
        </is>
      </c>
      <c r="D8" s="34" t="n">
        <v>19</v>
      </c>
      <c r="E8" s="34" t="inlineStr">
        <is>
          <t>2027-10-02</t>
        </is>
      </c>
      <c r="F8" s="40" t="n">
        <v>12000</v>
      </c>
      <c r="G8" s="40" t="n">
        <v>84000</v>
      </c>
      <c r="H8" s="35" t="inlineStr">
        <is>
          <t>Taking Over requires occupancy inspection (käyttöönottotarkastus) and Tenant technical acceptance</t>
        </is>
      </c>
    </row>
    <row r="9" ht="45" customHeight="1">
      <c r="B9" s="34" t="inlineStr">
        <is>
          <t>Section 4</t>
        </is>
      </c>
      <c r="C9" s="36" t="inlineStr">
        <is>
          <t>Data Hall 4, administration and NOC block, external works, landscaping</t>
        </is>
      </c>
      <c r="D9" s="34" t="n">
        <v>22</v>
      </c>
      <c r="E9" s="34" t="inlineStr">
        <is>
          <t>2028-01-02</t>
        </is>
      </c>
      <c r="F9" s="40" t="n">
        <v>10000</v>
      </c>
      <c r="G9" s="40" t="n">
        <v>70000</v>
      </c>
      <c r="H9" s="35" t="inlineStr">
        <is>
          <t>Taking Over requires occupancy inspection (käyttöönottotarkastus) and Tenant technical acceptance</t>
        </is>
      </c>
    </row>
    <row r="10">
      <c r="B10" s="17" t="inlineStr">
        <is>
          <t>Maximum LD (aggregate cap)</t>
        </is>
      </c>
      <c r="C10" s="17" t="inlineStr">
        <is>
          <t>10% of Accepted Contract Amount = €9,240,000</t>
        </is>
      </c>
      <c r="D10" s="17" t="n"/>
      <c r="E10" s="17" t="n"/>
      <c r="F10" s="17" t="n"/>
      <c r="G10" s="17" t="n"/>
      <c r="H10" s="17" t="n"/>
    </row>
  </sheetData>
  <mergeCells count="1">
    <mergeCell ref="C10:H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35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0" customWidth="1" min="3" max="3"/>
    <col width="18" customWidth="1" min="4" max="4"/>
    <col width="16" customWidth="1" min="5" max="5"/>
    <col width="16" customWidth="1" min="6" max="6"/>
    <col width="30" customWidth="1" min="7" max="7"/>
  </cols>
  <sheetData>
    <row r="2">
      <c r="B2" s="8" t="inlineStr">
        <is>
          <t>Audit — Cost Loading Reconciliation (€82,970,863)</t>
        </is>
      </c>
    </row>
    <row r="3">
      <c r="B3" s="25" t="inlineStr">
        <is>
          <t>Row-level breakdown of every numeric value summed in Schedule Table col M</t>
        </is>
      </c>
    </row>
    <row r="5">
      <c r="B5" s="6" t="inlineStr">
        <is>
          <t>Headline</t>
        </is>
      </c>
    </row>
    <row r="6">
      <c r="B6" t="inlineStr">
        <is>
          <t>Total cost loading</t>
        </is>
      </c>
      <c r="C6" s="3" t="inlineStr">
        <is>
          <t>€82,970,863</t>
        </is>
      </c>
    </row>
    <row r="7">
      <c r="B7" t="inlineStr">
        <is>
          <t>Rows summed</t>
        </is>
      </c>
      <c r="C7" t="inlineStr">
        <is>
          <t>133 (every numeric value in col M, rows 3–141)</t>
        </is>
      </c>
    </row>
    <row r="8">
      <c r="B8" t="inlineStr">
        <is>
          <t>Rows excluded</t>
        </is>
      </c>
      <c r="C8" t="inlineStr">
        <is>
          <t>6 (PROJECT COMMENCEMENT; SECTION 1/2/3/PROJECT COMPLETION milestones; Finavia Crane Permits — Clearance Period)</t>
        </is>
      </c>
    </row>
    <row r="9">
      <c r="B9" t="inlineStr">
        <is>
          <t>Total rows in Schedule Table</t>
        </is>
      </c>
      <c r="C9" t="inlineStr">
        <is>
          <t>139</t>
        </is>
      </c>
    </row>
    <row r="11">
      <c r="B11" s="6" t="inlineStr">
        <is>
          <t>Per-Resource-Group breakdown</t>
        </is>
      </c>
    </row>
    <row r="12">
      <c r="B12" s="9" t="inlineStr">
        <is>
          <t>Resource Group</t>
        </is>
      </c>
      <c r="C12" s="9" t="inlineStr">
        <is>
          <t>Rows</t>
        </is>
      </c>
      <c r="D12" s="9" t="inlineStr">
        <is>
          <t>Sum €</t>
        </is>
      </c>
      <c r="E12" s="9" t="inlineStr">
        <is>
          <t>Mapped BOQ §</t>
        </is>
      </c>
    </row>
    <row r="13">
      <c r="B13" s="36" t="inlineStr">
        <is>
          <t>Mech</t>
        </is>
      </c>
      <c r="C13" s="34" t="n">
        <v>1</v>
      </c>
      <c r="D13" s="40" t="n">
        <v>15046652</v>
      </c>
      <c r="E13" s="34" t="inlineStr">
        <is>
          <t>F</t>
        </is>
      </c>
    </row>
    <row r="14">
      <c r="B14" s="36" t="inlineStr">
        <is>
          <t>Electrical</t>
        </is>
      </c>
      <c r="C14" s="34" t="n">
        <v>14</v>
      </c>
      <c r="D14" s="40" t="n">
        <v>10739475</v>
      </c>
      <c r="E14" s="34" t="inlineStr">
        <is>
          <t>G</t>
        </is>
      </c>
    </row>
    <row r="15">
      <c r="B15" s="36" t="inlineStr">
        <is>
          <t>Mech HVAC</t>
        </is>
      </c>
      <c r="C15" s="34" t="n">
        <v>9</v>
      </c>
      <c r="D15" s="40" t="n">
        <v>9982464</v>
      </c>
      <c r="E15" s="34" t="inlineStr">
        <is>
          <t>F</t>
        </is>
      </c>
    </row>
    <row r="16">
      <c r="B16" s="36" t="inlineStr">
        <is>
          <t>Commissioning</t>
        </is>
      </c>
      <c r="C16" s="34" t="n">
        <v>20</v>
      </c>
      <c r="D16" s="40" t="n">
        <v>8201547</v>
      </c>
      <c r="E16" s="34" t="inlineStr">
        <is>
          <t>J</t>
        </is>
      </c>
    </row>
    <row r="17">
      <c r="B17" s="36" t="inlineStr">
        <is>
          <t>RC Frame</t>
        </is>
      </c>
      <c r="C17" s="34" t="n">
        <v>15</v>
      </c>
      <c r="D17" s="40" t="n">
        <v>5613050</v>
      </c>
      <c r="E17" s="34" t="inlineStr">
        <is>
          <t>B</t>
        </is>
      </c>
    </row>
    <row r="18">
      <c r="B18" s="36" t="inlineStr">
        <is>
          <t>Steel Erection</t>
        </is>
      </c>
      <c r="C18" s="34" t="n">
        <v>10</v>
      </c>
      <c r="D18" s="40" t="n">
        <v>5502597</v>
      </c>
      <c r="E18" s="34" t="inlineStr">
        <is>
          <t>C</t>
        </is>
      </c>
    </row>
    <row r="19">
      <c r="B19" s="36" t="inlineStr">
        <is>
          <t>Mech Pipe</t>
        </is>
      </c>
      <c r="C19" s="34" t="n">
        <v>5</v>
      </c>
      <c r="D19" s="40" t="n">
        <v>4962474</v>
      </c>
      <c r="E19" s="34" t="inlineStr">
        <is>
          <t>F</t>
        </is>
      </c>
    </row>
    <row r="20">
      <c r="B20" s="36" t="inlineStr">
        <is>
          <t>Fit-Out</t>
        </is>
      </c>
      <c r="C20" s="34" t="n">
        <v>5</v>
      </c>
      <c r="D20" s="40" t="n">
        <v>4203494</v>
      </c>
      <c r="E20" s="34" t="inlineStr">
        <is>
          <t>E</t>
        </is>
      </c>
    </row>
    <row r="21">
      <c r="B21" s="36" t="inlineStr">
        <is>
          <t>Roofing</t>
        </is>
      </c>
      <c r="C21" s="34" t="n">
        <v>4</v>
      </c>
      <c r="D21" s="40" t="n">
        <v>2983952</v>
      </c>
      <c r="E21" s="34" t="inlineStr">
        <is>
          <t>D</t>
        </is>
      </c>
    </row>
    <row r="22">
      <c r="B22" s="36" t="inlineStr">
        <is>
          <t>ELV</t>
        </is>
      </c>
      <c r="C22" s="34" t="n">
        <v>5</v>
      </c>
      <c r="D22" s="40" t="n">
        <v>2629753</v>
      </c>
      <c r="E22" s="34" t="inlineStr">
        <is>
          <t>H</t>
        </is>
      </c>
    </row>
    <row r="23">
      <c r="B23" s="36" t="inlineStr">
        <is>
          <t>Envelope</t>
        </is>
      </c>
      <c r="C23" s="34" t="n">
        <v>5</v>
      </c>
      <c r="D23" s="40" t="n">
        <v>2616225</v>
      </c>
      <c r="E23" s="34" t="inlineStr">
        <is>
          <t>D</t>
        </is>
      </c>
    </row>
    <row r="24">
      <c r="B24" s="36" t="inlineStr">
        <is>
          <t>External Works</t>
        </is>
      </c>
      <c r="C24" s="34" t="n">
        <v>3</v>
      </c>
      <c r="D24" s="40" t="n">
        <v>2273855</v>
      </c>
      <c r="E24" s="34" t="inlineStr">
        <is>
          <t>I</t>
        </is>
      </c>
    </row>
    <row r="25">
      <c r="B25" s="36" t="inlineStr">
        <is>
          <t>Precast</t>
        </is>
      </c>
      <c r="C25" s="34" t="n">
        <v>4</v>
      </c>
      <c r="D25" s="40" t="n">
        <v>1770440</v>
      </c>
      <c r="E25" s="34" t="inlineStr">
        <is>
          <t>C</t>
        </is>
      </c>
    </row>
    <row r="26">
      <c r="B26" s="36" t="inlineStr">
        <is>
          <t>Earthworks</t>
        </is>
      </c>
      <c r="C26" s="34" t="n">
        <v>3</v>
      </c>
      <c r="D26" s="40" t="n">
        <v>1654689</v>
      </c>
      <c r="E26" s="34" t="inlineStr">
        <is>
          <t>B</t>
        </is>
      </c>
    </row>
    <row r="27">
      <c r="B27" s="36" t="inlineStr">
        <is>
          <t>General Labour</t>
        </is>
      </c>
      <c r="C27" s="34" t="n">
        <v>1</v>
      </c>
      <c r="D27" s="40" t="n">
        <v>1470831</v>
      </c>
      <c r="E27" s="34" t="inlineStr">
        <is>
          <t>A</t>
        </is>
      </c>
    </row>
    <row r="28">
      <c r="B28" s="36" t="inlineStr">
        <is>
          <t>Piling</t>
        </is>
      </c>
      <c r="C28" s="34" t="n">
        <v>4</v>
      </c>
      <c r="D28" s="40" t="n">
        <v>1424640</v>
      </c>
      <c r="E28" s="34" t="inlineStr">
        <is>
          <t>B</t>
        </is>
      </c>
    </row>
    <row r="29">
      <c r="B29" s="36" t="inlineStr">
        <is>
          <t>Blasting</t>
        </is>
      </c>
      <c r="C29" s="34" t="n">
        <v>1</v>
      </c>
      <c r="D29" s="40" t="n">
        <v>696881</v>
      </c>
      <c r="E29" s="34" t="inlineStr">
        <is>
          <t>B</t>
        </is>
      </c>
    </row>
    <row r="30">
      <c r="B30" s="36" t="inlineStr">
        <is>
          <t>Management</t>
        </is>
      </c>
      <c r="C30" s="34" t="n">
        <v>7</v>
      </c>
      <c r="D30" s="40" t="n">
        <v>627352</v>
      </c>
      <c r="E30" s="34" t="inlineStr">
        <is>
          <t>A</t>
        </is>
      </c>
    </row>
    <row r="31">
      <c r="B31" s="36" t="inlineStr">
        <is>
          <t>Design Team</t>
        </is>
      </c>
      <c r="C31" s="34" t="n">
        <v>5</v>
      </c>
      <c r="D31" s="40" t="n">
        <v>350000</v>
      </c>
      <c r="E31" s="34" t="inlineStr">
        <is>
          <t>A</t>
        </is>
      </c>
    </row>
    <row r="32">
      <c r="B32" s="36" t="inlineStr">
        <is>
          <t>Waterproofing</t>
        </is>
      </c>
      <c r="C32" s="34" t="n">
        <v>4</v>
      </c>
      <c r="D32" s="40" t="n">
        <v>159492</v>
      </c>
      <c r="E32" s="34" t="inlineStr">
        <is>
          <t>F</t>
        </is>
      </c>
    </row>
    <row r="33">
      <c r="B33" s="36" t="inlineStr">
        <is>
          <t>Procurement</t>
        </is>
      </c>
      <c r="C33" s="34" t="n">
        <v>7</v>
      </c>
      <c r="D33" s="40" t="n">
        <v>49000</v>
      </c>
      <c r="E33" s="34" t="inlineStr">
        <is>
          <t>A</t>
        </is>
      </c>
    </row>
    <row r="34">
      <c r="B34" s="36" t="inlineStr">
        <is>
          <t>Surveyor</t>
        </is>
      </c>
      <c r="C34" s="34" t="n">
        <v>1</v>
      </c>
      <c r="D34" s="40" t="n">
        <v>12000</v>
      </c>
      <c r="E34" s="34" t="inlineStr">
        <is>
          <t>A</t>
        </is>
      </c>
    </row>
    <row r="35">
      <c r="B35" s="17" t="inlineStr">
        <is>
          <t>TOTAL</t>
        </is>
      </c>
      <c r="C35" s="22" t="n">
        <v>133</v>
      </c>
      <c r="D35" s="18" t="n">
        <v>82970863</v>
      </c>
      <c r="E3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2026-08-08T23:53:48Z</dcterms:created>
  <dcterms:modified xmlns:dcterms="http://purl.org/dc/terms/" xmlns:xsi="http://www.w3.org/2001/XMLSchema-instance" xsi:type="dcterms:W3CDTF">2026-08-08T23:55:07Z</dcterms:modified>
</cp:coreProperties>
</file>